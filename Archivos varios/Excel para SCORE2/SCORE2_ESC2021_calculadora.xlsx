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CONSULTORIO 4\Downloads\"/>
    </mc:Choice>
  </mc:AlternateContent>
  <bookViews>
    <workbookView xWindow="0" yWindow="0" windowWidth="20490" windowHeight="7635"/>
  </bookViews>
  <sheets>
    <sheet name="Input" sheetId="1" r:id="rId1"/>
    <sheet name="Calc" sheetId="2" r:id="rId2"/>
    <sheet name="Lookups" sheetId="3" r:id="rId3"/>
    <sheet name="About" sheetId="4" r:id="rId4"/>
  </sheets>
  <calcPr calcId="152511"/>
</workbook>
</file>

<file path=xl/calcChain.xml><?xml version="1.0" encoding="utf-8"?>
<calcChain xmlns="http://schemas.openxmlformats.org/spreadsheetml/2006/main">
  <c r="B4" i="2" l="1"/>
  <c r="B18" i="1" s="1"/>
  <c r="B3" i="2"/>
  <c r="B2" i="2"/>
  <c r="B16" i="1" l="1"/>
  <c r="B17" i="1"/>
</calcChain>
</file>

<file path=xl/sharedStrings.xml><?xml version="1.0" encoding="utf-8"?>
<sst xmlns="http://schemas.openxmlformats.org/spreadsheetml/2006/main" count="50" uniqueCount="45">
  <si>
    <t>SCORE2 / SCORE2-OP (ESC 2021) – Calculadora para protocolo institucional</t>
  </si>
  <si>
    <t>Entradas</t>
  </si>
  <si>
    <t>Edad (años)</t>
  </si>
  <si>
    <t>Rango: 40–89 (SCORE2: &lt;70; SCORE2-OP: ≥70)</t>
  </si>
  <si>
    <t>Sexo</t>
  </si>
  <si>
    <t>male</t>
  </si>
  <si>
    <t>Elegir: male / female</t>
  </si>
  <si>
    <t>Tabaquismo (Sí/No)</t>
  </si>
  <si>
    <t>No</t>
  </si>
  <si>
    <t>Se convertirá a 0/1</t>
  </si>
  <si>
    <t>PAS (mmHg)</t>
  </si>
  <si>
    <t>Colesterol total (mg/dL)</t>
  </si>
  <si>
    <t>Opcional: o ingrese en mmol/L abajo</t>
  </si>
  <si>
    <t>HDL (mg/dL)</t>
  </si>
  <si>
    <t>Colesterol total (mmol/L)</t>
  </si>
  <si>
    <t>Si completa mmol/L, se ignoran mg/dL</t>
  </si>
  <si>
    <t>HDL (mmol/L)</t>
  </si>
  <si>
    <t>Diabetes (Sí/No)</t>
  </si>
  <si>
    <t>SCORE2 no está validado en DM; dejar No en población objetivo</t>
  </si>
  <si>
    <t>Región de riesgo (Europa)</t>
  </si>
  <si>
    <t>High</t>
  </si>
  <si>
    <t>Low / Moderate / High / Very high</t>
  </si>
  <si>
    <t>Resultados</t>
  </si>
  <si>
    <t>Riesgo 10 años (%)</t>
  </si>
  <si>
    <t>Categoría</t>
  </si>
  <si>
    <t>Modelo usado</t>
  </si>
  <si>
    <t>Cálculos (no editar)</t>
  </si>
  <si>
    <t>Riesgo_10y_%</t>
  </si>
  <si>
    <t>Modelo</t>
  </si>
  <si>
    <t>Risk.region</t>
  </si>
  <si>
    <t>Sex</t>
  </si>
  <si>
    <t>Binary</t>
  </si>
  <si>
    <t>Yes/No</t>
  </si>
  <si>
    <t>Value</t>
  </si>
  <si>
    <t>Low</t>
  </si>
  <si>
    <t>Moderate</t>
  </si>
  <si>
    <t>female</t>
  </si>
  <si>
    <t>Yes</t>
  </si>
  <si>
    <t>Very high</t>
  </si>
  <si>
    <t>Notas y fuente</t>
  </si>
  <si>
    <t>Esta planilla implementa la ecuación publicada para SCORE2 (40–69 años) y SCORE2-OP (≥70 años), con recalibración por regiones de riesgo Europeas (Low, Moderate, High, Very high).</t>
  </si>
  <si>
    <t>Entradas de lípidos: puede ingresar en mg/dL o en mmol/L (si completa mmol/L se ignoran mg/dL). Conversión usada: mmol/L = mg/dL / 38.67 para colesterol.</t>
  </si>
  <si>
    <t>Advertencia: SCORE2 fue diseñado para población sin diabetes; si se usa con diabetes, el resultado puede no estar validado para esa población.</t>
  </si>
  <si>
    <t>Clasificación de riesgo en esta hoja sigue los umbrales por edad usados en implementaciones clínicas; puede adaptarse a su protocolo institucional si usan categorías distintas.</t>
  </si>
  <si>
    <t>Implementación basada en el código abierto del paquete R 'RiskScorescvd' (función SCORE2) y en los artículos SCORE2/SCORE2-OP de ESC Cardiovascular Risk Collaboration.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</si>
</sst>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8" customWidth="1"/>
    <col min="3" max="3" width="48" customWidth="1"/>
    <col min="4" max="6" width="10" customWidth="1"/>
  </cols>
  <sheetData>
    <row r="1" spans="1:6" ht="18.75" x14ac:dyDescent="0.3">
      <c r="A1" s="13" t="s">
        <v>0</v>
      </c>
      <c r="B1" s="7"/>
      <c r="C1" s="7"/>
      <c r="D1" s="7"/>
      <c r="E1" s="7"/>
      <c r="F1" s="7"/>
    </row>
    <row r="2" spans="1:6" x14ac:dyDescent="0.25">
      <c r="A2" s="6" t="s">
        <v>1</v>
      </c>
      <c r="B2" s="7"/>
      <c r="C2" s="7"/>
      <c r="D2" s="7"/>
      <c r="E2" s="7"/>
      <c r="F2" s="7"/>
    </row>
    <row r="3" spans="1:6" x14ac:dyDescent="0.25">
      <c r="A3" s="1" t="s">
        <v>2</v>
      </c>
      <c r="B3" s="2">
        <v>55</v>
      </c>
      <c r="C3" s="12" t="s">
        <v>3</v>
      </c>
      <c r="D3" s="9"/>
      <c r="E3" s="9"/>
      <c r="F3" s="9"/>
    </row>
    <row r="4" spans="1:6" x14ac:dyDescent="0.25">
      <c r="A4" s="4" t="s">
        <v>4</v>
      </c>
      <c r="B4" s="3" t="s">
        <v>5</v>
      </c>
      <c r="C4" s="8" t="s">
        <v>6</v>
      </c>
      <c r="D4" s="9"/>
      <c r="E4" s="9"/>
      <c r="F4" s="9"/>
    </row>
    <row r="5" spans="1:6" x14ac:dyDescent="0.25">
      <c r="A5" s="4" t="s">
        <v>7</v>
      </c>
      <c r="B5" s="3" t="s">
        <v>8</v>
      </c>
      <c r="C5" s="8" t="s">
        <v>9</v>
      </c>
      <c r="D5" s="9"/>
      <c r="E5" s="9"/>
      <c r="F5" s="9"/>
    </row>
    <row r="6" spans="1:6" x14ac:dyDescent="0.25">
      <c r="A6" s="4" t="s">
        <v>10</v>
      </c>
      <c r="B6" s="3">
        <v>130</v>
      </c>
      <c r="C6" s="8"/>
      <c r="D6" s="9"/>
      <c r="E6" s="9"/>
      <c r="F6" s="9"/>
    </row>
    <row r="7" spans="1:6" x14ac:dyDescent="0.25">
      <c r="A7" s="4" t="s">
        <v>11</v>
      </c>
      <c r="B7" s="3">
        <v>200</v>
      </c>
      <c r="C7" s="8" t="s">
        <v>12</v>
      </c>
      <c r="D7" s="9"/>
      <c r="E7" s="9"/>
      <c r="F7" s="9"/>
    </row>
    <row r="8" spans="1:6" x14ac:dyDescent="0.25">
      <c r="A8" s="4" t="s">
        <v>13</v>
      </c>
      <c r="B8" s="3">
        <v>45</v>
      </c>
      <c r="C8" s="8"/>
      <c r="D8" s="9"/>
      <c r="E8" s="9"/>
      <c r="F8" s="9"/>
    </row>
    <row r="9" spans="1:6" x14ac:dyDescent="0.25">
      <c r="A9" s="4" t="s">
        <v>14</v>
      </c>
      <c r="B9" s="3"/>
      <c r="C9" s="8" t="s">
        <v>15</v>
      </c>
      <c r="D9" s="9"/>
      <c r="E9" s="9"/>
      <c r="F9" s="9"/>
    </row>
    <row r="10" spans="1:6" x14ac:dyDescent="0.25">
      <c r="A10" s="4" t="s">
        <v>16</v>
      </c>
      <c r="B10" s="3"/>
      <c r="C10" s="8"/>
      <c r="D10" s="9"/>
      <c r="E10" s="9"/>
      <c r="F10" s="9"/>
    </row>
    <row r="11" spans="1:6" x14ac:dyDescent="0.25">
      <c r="A11" s="4" t="s">
        <v>17</v>
      </c>
      <c r="B11" s="3" t="s">
        <v>8</v>
      </c>
      <c r="C11" s="8" t="s">
        <v>18</v>
      </c>
      <c r="D11" s="9"/>
      <c r="E11" s="9"/>
      <c r="F11" s="9"/>
    </row>
    <row r="12" spans="1:6" x14ac:dyDescent="0.25">
      <c r="A12" s="4" t="s">
        <v>19</v>
      </c>
      <c r="B12" s="3" t="s">
        <v>20</v>
      </c>
      <c r="C12" s="8" t="s">
        <v>21</v>
      </c>
      <c r="D12" s="9"/>
      <c r="E12" s="9"/>
      <c r="F12" s="9"/>
    </row>
    <row r="15" spans="1:6" x14ac:dyDescent="0.25">
      <c r="A15" s="6" t="s">
        <v>22</v>
      </c>
      <c r="B15" s="7"/>
      <c r="C15" s="7"/>
      <c r="D15" s="7"/>
      <c r="E15" s="7"/>
      <c r="F15" s="7"/>
    </row>
    <row r="16" spans="1:6" x14ac:dyDescent="0.25">
      <c r="A16" s="1" t="s">
        <v>23</v>
      </c>
      <c r="B16" s="3" t="e">
        <f ca="1">Calc!B2</f>
        <v>#NAME?</v>
      </c>
      <c r="C16" s="9"/>
      <c r="D16" s="10"/>
      <c r="E16" s="10"/>
      <c r="F16" s="11"/>
    </row>
    <row r="17" spans="1:6" x14ac:dyDescent="0.25">
      <c r="A17" s="1" t="s">
        <v>24</v>
      </c>
      <c r="B17" s="3" t="e">
        <f ca="1">Calc!B3</f>
        <v>#NAME?</v>
      </c>
      <c r="C17" s="9"/>
      <c r="D17" s="10"/>
      <c r="E17" s="10"/>
      <c r="F17" s="11"/>
    </row>
    <row r="18" spans="1:6" x14ac:dyDescent="0.25">
      <c r="A18" s="1" t="s">
        <v>25</v>
      </c>
      <c r="B18" s="3" t="str">
        <f>Calc!B4</f>
        <v>SCORE2 (40–69)</v>
      </c>
      <c r="C18" s="9"/>
      <c r="D18" s="10"/>
      <c r="E18" s="10"/>
      <c r="F18" s="11"/>
    </row>
  </sheetData>
  <mergeCells count="16">
    <mergeCell ref="A1:F1"/>
    <mergeCell ref="C12:F12"/>
    <mergeCell ref="C6:F6"/>
    <mergeCell ref="C7:F7"/>
    <mergeCell ref="C16:F16"/>
    <mergeCell ref="C11:F11"/>
    <mergeCell ref="C10:F10"/>
    <mergeCell ref="C5:F5"/>
    <mergeCell ref="A15:F15"/>
    <mergeCell ref="A2:F2"/>
    <mergeCell ref="C9:F9"/>
    <mergeCell ref="C18:F18"/>
    <mergeCell ref="C3:F3"/>
    <mergeCell ref="C17:F17"/>
    <mergeCell ref="C8:F8"/>
    <mergeCell ref="C4:F4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>
          <x14:formula1>
            <xm:f>Lookups!$B$2:$B$3</xm:f>
          </x14:formula1>
          <xm:sqref>B4</xm:sqref>
        </x14:dataValidation>
        <x14:dataValidation type="list">
          <x14:formula1>
            <xm:f>Lookups!$A$2:$A$5</xm:f>
          </x14:formula1>
          <xm:sqref>B12</xm:sqref>
        </x14:dataValidation>
        <x14:dataValidation type="list">
          <x14:formula1>
            <xm:f>Lookups!$D$2:$D$3</xm:f>
          </x14:formula1>
          <xm:sqref>B5 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24" customWidth="1"/>
  </cols>
  <sheetData>
    <row r="1" spans="1:8" x14ac:dyDescent="0.25">
      <c r="A1" s="6" t="s">
        <v>26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27</v>
      </c>
      <c r="B2" s="3" t="e">
        <f ca="1">LET(Age,Input!B3,Sex,Input!B4,SmokeYN,Input!B5,DMYN,Input!B11,SBP,Input!B6,TCmg,Input!B7,HDLmg,Input!B8,TCmmol_in,Input!B9,HDLmmol_in,Input!B10,Region,Input!B12,Smoke,IF(SmokeYN="Yes",1,0),DM,IF(DMYN="Yes",1,0),TCmmol,IF(TCmmol_in&lt;&gt;"",TCmmol_in,TCmg/38.67),HDLmmol,IF(HDLmmol_in&lt;&gt;"",HDLmmol_in,HDLmg/38.67),Age_lt70,Age&lt;70,Scale1,IFS(AND(Region="Low",Age_lt70,Sex="male"),-0.5699,AND(Region="Low",Age_lt70,Sex="female"),-0.738,AND(Region="Moderate",Age_lt70,Sex="male"),-0.1565,AND(Region="Moderate",Age_lt70,Sex="female"),-0.3143,AND(Region="High",Age_lt70,Sex="male"),0.3207,AND(Region="High",Age_lt70,Sex="female"),0.571,AND(Region="Very high",Age_lt70,Sex="male"),0.5836,AND(Region="Very high",Age_lt70,Sex="female"),0.9412,AND(Region="Low",NOT(Age_lt70),Sex="male"),-0.34,AND(Region="Low",NOT(Age_lt70),Sex="female"),-0.52,AND(Region="Moderate",NOT(Age_lt70),Sex="male"),0.01,AND(Region="Moderate",NOT(Age_lt70),Sex="female"),-0.1,AND(Region="High",NOT(Age_lt70),Sex="male"),0.08,AND(Region="High",NOT(Age_lt70),Sex="female"),0.38,AND(Region="Very high",NOT(Age_lt70),Sex="male"),0.05,AND(Region="Very high",NOT(Age_lt70),Sex="female"),0.38),Scale2,IFS(AND(Region="Low",Age_lt70,Sex="male"),0.7476,AND(Region="Low",Age_lt70,Sex="female"),0.7019,AND(Region="Moderate",Age_lt70,Sex="male"),0.8009,AND(Region="Moderate",Age_lt70,Sex="female"),0.7701,AND(Region="High",Age_lt70,Sex="male"),0.936,AND(Region="High",Age_lt70,Sex="female"),0.9369,AND(Region="Very high",Age_lt70,Sex="male"),0.8294,AND(Region="Very high",Age_lt70,Sex="female"),0.8329,AND(Region="Low",NOT(Age_lt70),Sex="male"),1.19,AND(Region="Low",NOT(Age_lt70),Sex="female"),1.01,AND(Region="Moderate",NOT(Age_lt70),Sex="male"),1.25,AND(Region="Moderate",NOT(Age_lt70),Sex="female"),1.1,AND(Region="High",NOT(Age_lt70),Sex="male"),1.15,AND(Region="High",NOT(Age_lt70),Sex="female"),1.09,AND(Region="Very high",NOT(Age_lt70),Sex="male"),0.7,AND(Region="Very high",NOT(Age_lt70),Sex="female"),0.69),LP,IF(AND(Sex="male",Age_lt70),0.3742*(Age-60)/5 +0.6012*Smoke +0.2777*(SBP-120)/20 +0.6457*DM +0.1458*(TCmmol-6)/1 +(-0.2698)*(HDLmmol-1.3)/0.5 +(-0.0755)*(Age-60)/5*Smoke +(-0.0255)*(Age-60)/5*(SBP-120)/20 +(-0.0281)*(Age-60)/5*(TCmmol-6)/1 +0.0426*(Age-60)/5*(HDLmmol-1.3)/0.5 +(-0.0983)*(Age-60)/5*DM,IF(AND(Sex="female",Age_lt70),0.4648*(Age-60)/5 +0.7744*Smoke +0.3131*(SBP-120)/20 +0.8096*DM +0.1002*(TCmmol-6)/1 +(-0.2606)*(HDLmmol-1.3)/0.5 +(-0.1088)*(Age-60)/5*Smoke +(-0.0277)*(Age-60)/5*(SBP-120)/20 +(-0.0226)*(Age-60)/5*(TCmmol-6)/1 +0.0613*(Age-60)/5*(HDLmmol-1.3)/0.5 +(-0.1272)*(Age-60)/5*DM,IF(AND(Sex="male",NOT(Age_lt70)),0.0634*(Age-73) +0.4245*DM +0.3524*Smoke +0.0094*(SBP-150) +0.085*(TCmmol-6) +(-0.3564)*(HDLmmol-1.4) +(-0.0174)*(Age-73)*DM +(-0.0247)*(Age-73)*Smoke +(-0.0005)*(Age-73)*(SBP-150) +0.0073*(Age-73)*(TCmmol-6) +0.0091*(Age-73)*(HDLmmol-1.4),IF(AND(Sex="female",NOT(Age_lt70)),0.0789*(Age-73) +0.601*DM +0.4921*Smoke +0.0102*(SBP-150) +0.0605*(TCmmol-6) +(-0.304)*(HDLmmol-1.4) +(-0.0107)*(Age-73)*DM +(-0.0255)*(Age-73)*Smoke +(-0.0004)*(Age-73)*(SBP-150) +(-0.0009)*(Age-73)*(TCmmol-6) +0.0154*(Age-73)*(HDLmmol-1.4),NA())))),Base,IF(AND(Sex="male",Age_lt70),0.9605,IF(AND(Sex="female",Age_lt70),0.9776,IF(AND(Sex="male",NOT(Age_lt70)),0.7576,IF(AND(Sex="female",NOT(Age_lt70)),0.8082,NA())))),Adj,IF(AND(Sex="male",NOT(Age_lt70)),LP-0.0929,IF(AND(Sex="female",NOT(Age_lt70)),LP-0.229,LP)),Step2,1 - Base^EXP(Adj),Risk,1-EXP(-EXP(Scale1 + Scale2*LN(-LN(1-Step2)))),ROUND(Risk*100,1))</f>
        <v>#NAME?</v>
      </c>
    </row>
    <row r="3" spans="1:8" x14ac:dyDescent="0.25">
      <c r="A3" s="1" t="s">
        <v>24</v>
      </c>
      <c r="B3" s="3" t="e">
        <f ca="1">LET(Age,Input!B3,x,B2,IF(ISBLANK(x),"",IF(Age&lt;50,IF(x&lt;2.5,"Low risk",IF(x&lt;7.5,"Moderate risk","High risk")),IF(Age&lt;=69,IF(x&lt;5,"Low risk",IF(x&lt;10,"Moderate risk","High risk")),IF(x&lt;7.5,"Low risk",IF(x&lt;15,"Moderate risk","High risk"))))))</f>
        <v>#NAME?</v>
      </c>
    </row>
    <row r="4" spans="1:8" x14ac:dyDescent="0.25">
      <c r="A4" s="1" t="s">
        <v>28</v>
      </c>
      <c r="B4" s="3" t="str">
        <f>IF(Input!B3&lt;70,"SCORE2 (40–69)","SCORE2-OP (≥70)")</f>
        <v>SCORE2 (40–69)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baseColWidth="10" defaultColWidth="9.140625" defaultRowHeight="15" x14ac:dyDescent="0.25"/>
  <cols>
    <col min="1" max="1" width="14" customWidth="1"/>
    <col min="2" max="2" width="10" customWidth="1"/>
    <col min="4" max="4" width="10" customWidth="1"/>
    <col min="5" max="5" width="8" customWidth="1"/>
  </cols>
  <sheetData>
    <row r="1" spans="1:5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x14ac:dyDescent="0.25">
      <c r="A2" t="s">
        <v>34</v>
      </c>
      <c r="B2" t="s">
        <v>5</v>
      </c>
      <c r="D2" t="s">
        <v>8</v>
      </c>
      <c r="E2">
        <v>0</v>
      </c>
    </row>
    <row r="3" spans="1:5" x14ac:dyDescent="0.25">
      <c r="A3" t="s">
        <v>35</v>
      </c>
      <c r="B3" t="s">
        <v>36</v>
      </c>
      <c r="D3" t="s">
        <v>37</v>
      </c>
      <c r="E3">
        <v>1</v>
      </c>
    </row>
    <row r="4" spans="1:5" x14ac:dyDescent="0.25">
      <c r="A4" t="s">
        <v>20</v>
      </c>
    </row>
    <row r="5" spans="1:5" x14ac:dyDescent="0.25">
      <c r="A5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baseColWidth="10" defaultColWidth="9.140625" defaultRowHeight="15" x14ac:dyDescent="0.25"/>
  <cols>
    <col min="1" max="1" width="32" customWidth="1"/>
    <col min="2" max="6" width="14" customWidth="1"/>
  </cols>
  <sheetData>
    <row r="1" spans="1:6" x14ac:dyDescent="0.25">
      <c r="A1" s="6" t="s">
        <v>39</v>
      </c>
      <c r="B1" s="7"/>
      <c r="C1" s="7"/>
      <c r="D1" s="7"/>
      <c r="E1" s="7"/>
      <c r="F1" s="7"/>
    </row>
    <row r="3" spans="1:6" x14ac:dyDescent="0.25">
      <c r="A3" s="8" t="s">
        <v>40</v>
      </c>
      <c r="B3" s="14"/>
      <c r="C3" s="14"/>
      <c r="D3" s="14"/>
      <c r="E3" s="14"/>
      <c r="F3" s="14"/>
    </row>
    <row r="4" spans="1:6" x14ac:dyDescent="0.25">
      <c r="A4" s="8" t="s">
        <v>41</v>
      </c>
      <c r="B4" s="14"/>
      <c r="C4" s="14"/>
      <c r="D4" s="14"/>
      <c r="E4" s="14"/>
      <c r="F4" s="14"/>
    </row>
    <row r="5" spans="1:6" x14ac:dyDescent="0.25">
      <c r="A5" s="8" t="s">
        <v>42</v>
      </c>
      <c r="B5" s="14"/>
      <c r="C5" s="14"/>
      <c r="D5" s="14"/>
      <c r="E5" s="14"/>
      <c r="F5" s="14"/>
    </row>
    <row r="6" spans="1:6" x14ac:dyDescent="0.25">
      <c r="A6" s="8" t="s">
        <v>43</v>
      </c>
      <c r="B6" s="14"/>
      <c r="C6" s="14"/>
      <c r="D6" s="14"/>
      <c r="E6" s="14"/>
      <c r="F6" s="14"/>
    </row>
    <row r="7" spans="1:6" x14ac:dyDescent="0.25">
      <c r="A7" s="8" t="s">
        <v>44</v>
      </c>
      <c r="B7" s="14"/>
      <c r="C7" s="14"/>
      <c r="D7" s="14"/>
      <c r="E7" s="14"/>
      <c r="F7" s="14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Input</vt:lpstr>
      <vt:lpstr>Calc</vt:lpstr>
      <vt:lpstr>Lookups</vt:lpstr>
      <vt:lpstr>About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CONSULTORIO 4</cp:lastModifiedBy>
  <dcterms:created xsi:type="dcterms:W3CDTF">2026-01-08T11:37:19Z</dcterms:created>
  <dcterms:modified xsi:type="dcterms:W3CDTF">2026-01-08T11:38:14Z</dcterms:modified>
</cp:coreProperties>
</file>