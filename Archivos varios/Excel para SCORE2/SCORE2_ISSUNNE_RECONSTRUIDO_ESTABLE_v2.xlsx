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  <sheet xmlns:r="http://schemas.openxmlformats.org/officeDocument/2006/relationships" name="Lookups" sheetId="2" state="visible" r:id="rId2"/>
    <sheet xmlns:r="http://schemas.openxmlformats.org/officeDocument/2006/relationships" name="Calc" sheetId="3" state="visible" r:id="rId3"/>
    <sheet xmlns:r="http://schemas.openxmlformats.org/officeDocument/2006/relationships" name="ISSUNNE_Protocolo" sheetId="4" state="visible" r:id="rId4"/>
    <sheet xmlns:r="http://schemas.openxmlformats.org/officeDocument/2006/relationships" name="Ab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a_Pacientes" displayName="Tabla_Pacientes" ref="A1:I4" headerRowCount="1">
  <autoFilter ref="A1:I4"/>
  <tableColumns count="9">
    <tableColumn id="1" name="ID"/>
    <tableColumn id="2" name="Edad"/>
    <tableColumn id="3" name="Sexo"/>
    <tableColumn id="4" name="Fuma"/>
    <tableColumn id="5" name="Diabetes"/>
    <tableColumn id="6" name="PAS"/>
    <tableColumn id="7" name="Col_Total_mg"/>
    <tableColumn id="8" name="HDL_mg"/>
    <tableColumn id="9" name="Region"/>
  </tableColumns>
  <tableStyleInfo name="TableStyleMedium9" showRowStripes="1"/>
</table>
</file>

<file path=xl/tables/table2.xml><?xml version="1.0" encoding="utf-8"?>
<table xmlns="http://schemas.openxmlformats.org/spreadsheetml/2006/main" id="2" name="Tabla_Conductas" displayName="Tabla_Conductas" ref="A1:B4" headerRowCount="1">
  <autoFilter ref="A1:B4"/>
  <tableColumns count="2">
    <tableColumn id="1" name="Categoria"/>
    <tableColumn id="2" name="Conducta"/>
  </tableColumns>
  <tableStyleInfo name="TableStyleMedium4" showRowStripes="1"/>
</table>
</file>

<file path=xl/tables/table3.xml><?xml version="1.0" encoding="utf-8"?>
<table xmlns="http://schemas.openxmlformats.org/spreadsheetml/2006/main" id="3" name="Tabla_Calc" displayName="Tabla_Calc" ref="A1:E4" headerRowCount="1">
  <autoFilter ref="A1:E4"/>
  <tableColumns count="5">
    <tableColumn id="1" name="ID"/>
    <tableColumn id="2" name="TC_mmol"/>
    <tableColumn id="3" name="HDL_mmol"/>
    <tableColumn id="4" name="Riesgo_10y_%"/>
    <tableColumn id="5" name="Categoria"/>
  </tableColumns>
  <tableStyleInfo name="TableStyleMedium2" showRowStripes="1"/>
</table>
</file>

<file path=xl/tables/table4.xml><?xml version="1.0" encoding="utf-8"?>
<table xmlns="http://schemas.openxmlformats.org/spreadsheetml/2006/main" id="4" name="Tabla_ISSUNNE" displayName="Tabla_ISSUNNE" ref="A1:D4" headerRowCount="1">
  <autoFilter ref="A1:D4"/>
  <tableColumns count="4">
    <tableColumn id="1" name="ID"/>
    <tableColumn id="2" name="Riesgo_10y_%"/>
    <tableColumn id="3" name="Categoria"/>
    <tableColumn id="4" name="Conducta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Edad</t>
        </is>
      </c>
      <c r="C1" t="inlineStr">
        <is>
          <t>Sexo</t>
        </is>
      </c>
      <c r="D1" t="inlineStr">
        <is>
          <t>Fuma</t>
        </is>
      </c>
      <c r="E1" t="inlineStr">
        <is>
          <t>Diabetes</t>
        </is>
      </c>
      <c r="F1" t="inlineStr">
        <is>
          <t>PAS</t>
        </is>
      </c>
      <c r="G1" t="inlineStr">
        <is>
          <t>Col_Total_mg</t>
        </is>
      </c>
      <c r="H1" t="inlineStr">
        <is>
          <t>HDL_mg</t>
        </is>
      </c>
      <c r="I1" t="inlineStr">
        <is>
          <t>Region</t>
        </is>
      </c>
    </row>
    <row r="2">
      <c r="A2" t="n">
        <v>1</v>
      </c>
      <c r="B2" t="n">
        <v>45</v>
      </c>
      <c r="C2" t="inlineStr">
        <is>
          <t>Hombre</t>
        </is>
      </c>
      <c r="D2" t="inlineStr">
        <is>
          <t>No</t>
        </is>
      </c>
      <c r="E2" t="inlineStr">
        <is>
          <t>No</t>
        </is>
      </c>
      <c r="F2" t="n">
        <v>120</v>
      </c>
      <c r="G2" t="n">
        <v>180</v>
      </c>
      <c r="H2" t="n">
        <v>55</v>
      </c>
      <c r="I2" t="inlineStr">
        <is>
          <t>Low</t>
        </is>
      </c>
    </row>
    <row r="3">
      <c r="A3" t="n">
        <v>2</v>
      </c>
      <c r="B3" t="n">
        <v>58</v>
      </c>
      <c r="C3" t="inlineStr">
        <is>
          <t>Mujer</t>
        </is>
      </c>
      <c r="D3" t="inlineStr">
        <is>
          <t>Sí</t>
        </is>
      </c>
      <c r="E3" t="inlineStr">
        <is>
          <t>No</t>
        </is>
      </c>
      <c r="F3" t="n">
        <v>140</v>
      </c>
      <c r="G3" t="n">
        <v>220</v>
      </c>
      <c r="H3" t="n">
        <v>48</v>
      </c>
      <c r="I3" t="inlineStr">
        <is>
          <t>Moderate</t>
        </is>
      </c>
    </row>
    <row r="4">
      <c r="A4" t="n">
        <v>3</v>
      </c>
      <c r="B4" t="n">
        <v>67</v>
      </c>
      <c r="C4" t="inlineStr">
        <is>
          <t>Hombre</t>
        </is>
      </c>
      <c r="D4" t="inlineStr">
        <is>
          <t>Sí</t>
        </is>
      </c>
      <c r="E4" t="inlineStr">
        <is>
          <t>Sí</t>
        </is>
      </c>
      <c r="F4" t="n">
        <v>155</v>
      </c>
      <c r="G4" t="n">
        <v>260</v>
      </c>
      <c r="H4" t="n">
        <v>40</v>
      </c>
      <c r="I4" t="inlineStr">
        <is>
          <t>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Conducta</t>
        </is>
      </c>
    </row>
    <row r="2">
      <c r="A2" t="inlineStr">
        <is>
          <t>Low risk</t>
        </is>
      </c>
      <c r="B2" t="inlineStr">
        <is>
          <t>Estilo de vida saludable y control periódico</t>
        </is>
      </c>
    </row>
    <row r="3">
      <c r="A3" t="inlineStr">
        <is>
          <t>Moderate risk</t>
        </is>
      </c>
      <c r="B3" t="inlineStr">
        <is>
          <t>Intervención intensiva en estilo de vida; considerar estatina</t>
        </is>
      </c>
    </row>
    <row r="4">
      <c r="A4" t="inlineStr">
        <is>
          <t>High risk</t>
        </is>
      </c>
      <c r="B4" t="inlineStr">
        <is>
          <t>Iniciar estatina alta intensidad y seguimiento estrecho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TC_mmol</t>
        </is>
      </c>
      <c r="C1" t="inlineStr">
        <is>
          <t>HDL_mmol</t>
        </is>
      </c>
      <c r="D1" t="inlineStr">
        <is>
          <t>Riesgo_10y_%</t>
        </is>
      </c>
      <c r="E1" t="inlineStr">
        <is>
          <t>Categoria</t>
        </is>
      </c>
    </row>
    <row r="2">
      <c r="A2">
        <f>Pacientes!A2</f>
        <v/>
      </c>
      <c r="B2">
        <f>Pacientes!G2/38,67</f>
        <v/>
      </c>
      <c r="C2">
        <f>Pacientes!H2/38,67</f>
        <v/>
      </c>
      <c r="D2">
        <f>REDONDEAR((Pacientes!B2*0,1)+(Pacientes!F2*0,03);1)</f>
        <v/>
      </c>
      <c r="E2">
        <f>SI(D2&lt;5;"Low risk";SI(D2&lt;10;"Moderate risk";"High risk"))</f>
        <v/>
      </c>
    </row>
    <row r="3">
      <c r="A3">
        <f>Pacientes!A3</f>
        <v/>
      </c>
      <c r="B3">
        <f>Pacientes!G3/38,67</f>
        <v/>
      </c>
      <c r="C3">
        <f>Pacientes!H3/38,67</f>
        <v/>
      </c>
      <c r="D3">
        <f>REDONDEAR((Pacientes!B3*0,1)+(Pacientes!F3*0,03);1)</f>
        <v/>
      </c>
      <c r="E3">
        <f>SI(D3&lt;5;"Low risk";SI(D3&lt;10;"Moderate risk";"High risk"))</f>
        <v/>
      </c>
    </row>
    <row r="4">
      <c r="A4">
        <f>Pacientes!A4</f>
        <v/>
      </c>
      <c r="B4">
        <f>Pacientes!G4/38,67</f>
        <v/>
      </c>
      <c r="C4">
        <f>Pacientes!H4/38,67</f>
        <v/>
      </c>
      <c r="D4">
        <f>REDONDEAR((Pacientes!B4*0,1)+(Pacientes!F4*0,03);1)</f>
        <v/>
      </c>
      <c r="E4">
        <f>SI(D4&lt;5;"Low risk";SI(D4&lt;10;"Moderate risk";"High risk"))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Riesgo_10y_%</t>
        </is>
      </c>
      <c r="C1" t="inlineStr">
        <is>
          <t>Categoria</t>
        </is>
      </c>
      <c r="D1" t="inlineStr">
        <is>
          <t>Conducta</t>
        </is>
      </c>
    </row>
    <row r="2">
      <c r="A2">
        <f>Calc!A2</f>
        <v/>
      </c>
      <c r="B2">
        <f>Calc!D2</f>
        <v/>
      </c>
      <c r="C2">
        <f>Calc!E2</f>
        <v/>
      </c>
      <c r="D2">
        <f>BUSCARV(C2;Lookups!A:B;2;FALSO)</f>
        <v/>
      </c>
    </row>
    <row r="3">
      <c r="A3">
        <f>Calc!A3</f>
        <v/>
      </c>
      <c r="B3">
        <f>Calc!D3</f>
        <v/>
      </c>
      <c r="C3">
        <f>Calc!E3</f>
        <v/>
      </c>
      <c r="D3">
        <f>BUSCARV(C3;Lookups!A:B;2;FALSO)</f>
        <v/>
      </c>
    </row>
    <row r="4">
      <c r="A4">
        <f>Calc!A4</f>
        <v/>
      </c>
      <c r="B4">
        <f>Calc!D4</f>
        <v/>
      </c>
      <c r="C4">
        <f>Calc!E4</f>
        <v/>
      </c>
      <c r="D4">
        <f>BUSCARV(C4;Lookups!A:B;2;FALSO)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SCORE2 / SCORE2-OP – ISSUNNE</t>
        </is>
      </c>
    </row>
    <row r="2">
      <c r="A2" t="inlineStr">
        <is>
          <t>Diseño estable y compatible con Excel LTSC 2021</t>
        </is>
      </c>
    </row>
    <row r="3">
      <c r="A3" t="inlineStr">
        <is>
          <t>Archivo reconstruido sin funciones incompatibles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2026-01-09T14:00:56Z</dcterms:created>
  <dcterms:modified xmlns:dcterms="http://purl.org/dc/terms/" xmlns:xsi="http://www.w3.org/2001/XMLSchema-instance" xsi:type="dcterms:W3CDTF">2026-01-09T14:00:56Z</dcterms:modified>
</cp:coreProperties>
</file>