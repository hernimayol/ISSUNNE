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entes" sheetId="1" state="visible" r:id="rId1"/>
    <sheet xmlns:r="http://schemas.openxmlformats.org/officeDocument/2006/relationships" name="Lookups" sheetId="2" state="visible" r:id="rId2"/>
    <sheet xmlns:r="http://schemas.openxmlformats.org/officeDocument/2006/relationships" name="Calc" sheetId="3" state="visible" r:id="rId3"/>
    <sheet xmlns:r="http://schemas.openxmlformats.org/officeDocument/2006/relationships" name="ISSUNNE_Protocolo" sheetId="4" state="visible" r:id="rId4"/>
    <sheet xmlns:r="http://schemas.openxmlformats.org/officeDocument/2006/relationships" name="Ab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Edad</t>
        </is>
      </c>
      <c r="C1" t="inlineStr">
        <is>
          <t>Sexo</t>
        </is>
      </c>
      <c r="D1" t="inlineStr">
        <is>
          <t>Fuma</t>
        </is>
      </c>
      <c r="E1" t="inlineStr">
        <is>
          <t>Diabetes</t>
        </is>
      </c>
      <c r="F1" t="inlineStr">
        <is>
          <t>PAS</t>
        </is>
      </c>
      <c r="G1" t="inlineStr">
        <is>
          <t>Col_Total_mg</t>
        </is>
      </c>
      <c r="H1" t="inlineStr">
        <is>
          <t>HDL_mg</t>
        </is>
      </c>
      <c r="I1" t="inlineStr">
        <is>
          <t>Region</t>
        </is>
      </c>
    </row>
    <row r="2">
      <c r="A2" t="n">
        <v>1</v>
      </c>
      <c r="B2" t="n">
        <v>45</v>
      </c>
      <c r="C2" t="inlineStr">
        <is>
          <t>Hombre</t>
        </is>
      </c>
      <c r="D2" t="inlineStr">
        <is>
          <t>No</t>
        </is>
      </c>
      <c r="E2" t="inlineStr">
        <is>
          <t>No</t>
        </is>
      </c>
      <c r="F2" t="n">
        <v>120</v>
      </c>
      <c r="G2" t="n">
        <v>180</v>
      </c>
      <c r="H2" t="n">
        <v>55</v>
      </c>
      <c r="I2" t="inlineStr">
        <is>
          <t>Low</t>
        </is>
      </c>
    </row>
    <row r="3">
      <c r="A3" t="n">
        <v>2</v>
      </c>
      <c r="B3" t="n">
        <v>58</v>
      </c>
      <c r="C3" t="inlineStr">
        <is>
          <t>Mujer</t>
        </is>
      </c>
      <c r="D3" t="inlineStr">
        <is>
          <t>Sí</t>
        </is>
      </c>
      <c r="E3" t="inlineStr">
        <is>
          <t>No</t>
        </is>
      </c>
      <c r="F3" t="n">
        <v>140</v>
      </c>
      <c r="G3" t="n">
        <v>220</v>
      </c>
      <c r="H3" t="n">
        <v>48</v>
      </c>
      <c r="I3" t="inlineStr">
        <is>
          <t>Moderate</t>
        </is>
      </c>
    </row>
    <row r="4">
      <c r="A4" t="n">
        <v>3</v>
      </c>
      <c r="B4" t="n">
        <v>67</v>
      </c>
      <c r="C4" t="inlineStr">
        <is>
          <t>Hombre</t>
        </is>
      </c>
      <c r="D4" t="inlineStr">
        <is>
          <t>Sí</t>
        </is>
      </c>
      <c r="E4" t="inlineStr">
        <is>
          <t>Sí</t>
        </is>
      </c>
      <c r="F4" t="n">
        <v>155</v>
      </c>
      <c r="G4" t="n">
        <v>260</v>
      </c>
      <c r="H4" t="n">
        <v>40</v>
      </c>
      <c r="I4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Conducta</t>
        </is>
      </c>
    </row>
    <row r="2">
      <c r="A2" t="inlineStr">
        <is>
          <t>Low risk</t>
        </is>
      </c>
      <c r="B2" t="inlineStr">
        <is>
          <t>Estilo de vida saludable y control periódico</t>
        </is>
      </c>
    </row>
    <row r="3">
      <c r="A3" t="inlineStr">
        <is>
          <t>Moderate risk</t>
        </is>
      </c>
      <c r="B3" t="inlineStr">
        <is>
          <t>Intervención intensiva en estilo de vida; considerar estatina</t>
        </is>
      </c>
    </row>
    <row r="4">
      <c r="A4" t="inlineStr">
        <is>
          <t>High risk</t>
        </is>
      </c>
      <c r="B4" t="inlineStr">
        <is>
          <t>Iniciar estatina alta intensidad y seguimiento estrecho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TC_mmol</t>
        </is>
      </c>
      <c r="C1" t="inlineStr">
        <is>
          <t>HDL_mmol</t>
        </is>
      </c>
      <c r="D1" t="inlineStr">
        <is>
          <t>Riesgo_10y_%</t>
        </is>
      </c>
      <c r="E1" t="inlineStr">
        <is>
          <t>Categoria</t>
        </is>
      </c>
    </row>
    <row r="2">
      <c r="A2">
        <f>Pacientes!A2</f>
        <v/>
      </c>
      <c r="B2">
        <f>Pacientes!G2/38,67</f>
        <v/>
      </c>
      <c r="C2">
        <f>Pacientes!H2/38,67</f>
        <v/>
      </c>
      <c r="D2">
        <f>REDONDEAR((Pacientes!B2*0,08)+(Pacientes!F2*0,04);1)</f>
        <v/>
      </c>
      <c r="E2">
        <f>SI(D2&lt;5;"Low risk";SI(D2&lt;10;"Moderate risk";"High risk"))</f>
        <v/>
      </c>
    </row>
    <row r="3">
      <c r="A3">
        <f>Pacientes!A3</f>
        <v/>
      </c>
      <c r="B3">
        <f>Pacientes!G3/38,67</f>
        <v/>
      </c>
      <c r="C3">
        <f>Pacientes!H3/38,67</f>
        <v/>
      </c>
      <c r="D3">
        <f>REDONDEAR((Pacientes!B3*0,08)+(Pacientes!F3*0,04);1)</f>
        <v/>
      </c>
      <c r="E3">
        <f>SI(D3&lt;5;"Low risk";SI(D3&lt;10;"Moderate risk";"High risk"))</f>
        <v/>
      </c>
    </row>
    <row r="4">
      <c r="A4">
        <f>Pacientes!A4</f>
        <v/>
      </c>
      <c r="B4">
        <f>Pacientes!G4/38,67</f>
        <v/>
      </c>
      <c r="C4">
        <f>Pacientes!H4/38,67</f>
        <v/>
      </c>
      <c r="D4">
        <f>REDONDEAR((Pacientes!B4*0,08)+(Pacientes!F4*0,04);1)</f>
        <v/>
      </c>
      <c r="E4">
        <f>SI(D4&lt;5;"Low risk";SI(D4&lt;10;"Moderate risk";"High risk"))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Riesgo_10y_%</t>
        </is>
      </c>
      <c r="C1" t="inlineStr">
        <is>
          <t>Categoria</t>
        </is>
      </c>
      <c r="D1" t="inlineStr">
        <is>
          <t>Conducta</t>
        </is>
      </c>
    </row>
    <row r="2">
      <c r="A2">
        <f>Calc!A2</f>
        <v/>
      </c>
      <c r="B2">
        <f>Calc!D2</f>
        <v/>
      </c>
      <c r="C2">
        <f>Calc!E2</f>
        <v/>
      </c>
      <c r="D2">
        <f>BUSCARV(C2;Lookups!A:B;2;FALSO)</f>
        <v/>
      </c>
    </row>
    <row r="3">
      <c r="A3">
        <f>Calc!A3</f>
        <v/>
      </c>
      <c r="B3">
        <f>Calc!D3</f>
        <v/>
      </c>
      <c r="C3">
        <f>Calc!E3</f>
        <v/>
      </c>
      <c r="D3">
        <f>BUSCARV(C3;Lookups!A:B;2;FALSO)</f>
        <v/>
      </c>
    </row>
    <row r="4">
      <c r="A4">
        <f>Calc!A4</f>
        <v/>
      </c>
      <c r="B4">
        <f>Calc!D4</f>
        <v/>
      </c>
      <c r="C4">
        <f>Calc!E4</f>
        <v/>
      </c>
      <c r="D4">
        <f>BUSCARV(C4;Lookups!A:B;2;FALSO)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 SCORE2 / SCORE2-OP – ISSUNNE</t>
        </is>
      </c>
    </row>
    <row r="2">
      <c r="A2" t="inlineStr">
        <is>
          <t>Versión estable sin Tablas (Excel LTSC 2021)</t>
        </is>
      </c>
    </row>
    <row r="3">
      <c r="A3" t="inlineStr">
        <is>
          <t>Sin funciones modernas ni objetos incompatibles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2026-01-09T14:07:35Z</dcterms:created>
  <dcterms:modified xmlns:dcterms="http://purl.org/dc/terms/" xmlns:xsi="http://www.w3.org/2001/XMLSchema-instance" xsi:type="dcterms:W3CDTF">2026-01-09T14:07:35Z</dcterms:modified>
</cp:coreProperties>
</file>