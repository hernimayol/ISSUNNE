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Users\Hernán\Downloads\"/>
    </mc:Choice>
  </mc:AlternateContent>
  <xr:revisionPtr revIDLastSave="0" documentId="13_ncr:20001_{2FD2D66C-3E71-4FEB-87C5-AD262DF60674}" xr6:coauthVersionLast="47" xr6:coauthVersionMax="47" xr10:uidLastSave="{00000000-0000-0000-0000-000000000000}"/>
  <bookViews>
    <workbookView xWindow="10245" yWindow="0" windowWidth="10245" windowHeight="11070" firstSheet="1" activeTab="2" xr2:uid="{00000000-000D-0000-FFFF-FFFF00000000}"/>
  </bookViews>
  <sheets>
    <sheet name="Pacientes" sheetId="1" r:id="rId1"/>
    <sheet name="Calc" sheetId="3" r:id="rId2"/>
    <sheet name="ISSUNNE_Protocolo" sheetId="4" r:id="rId3"/>
    <sheet name="Lookups" sheetId="2" r:id="rId4"/>
    <sheet name="About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3" l="1"/>
  <c r="E3" i="3"/>
  <c r="F3" i="3" s="1"/>
  <c r="E4" i="3"/>
  <c r="F4" i="3" s="1"/>
  <c r="E5" i="3"/>
  <c r="F2" i="3"/>
  <c r="F5" i="3"/>
  <c r="B5" i="4"/>
  <c r="D2" i="3"/>
  <c r="D3" i="3"/>
  <c r="D4" i="3"/>
  <c r="D5" i="3"/>
  <c r="C5" i="3"/>
  <c r="B5" i="3"/>
  <c r="A5" i="3"/>
  <c r="A5" i="4" s="1"/>
  <c r="C3" i="3"/>
  <c r="C4" i="3"/>
  <c r="C2" i="3"/>
  <c r="B2" i="3"/>
  <c r="B3" i="3"/>
  <c r="B4" i="3"/>
  <c r="A4" i="3"/>
  <c r="A4" i="4" s="1"/>
  <c r="A3" i="3"/>
  <c r="A3" i="4" s="1"/>
  <c r="A2" i="3"/>
  <c r="A2" i="4" s="1"/>
  <c r="B3" i="4" l="1"/>
  <c r="C2" i="4"/>
  <c r="D2" i="4" s="1"/>
  <c r="C4" i="4"/>
  <c r="D4" i="4" s="1"/>
  <c r="C3" i="4"/>
  <c r="D3" i="4" s="1"/>
  <c r="C5" i="4"/>
  <c r="D5" i="4" s="1"/>
  <c r="B2" i="4"/>
  <c r="B4" i="4"/>
</calcChain>
</file>

<file path=xl/sharedStrings.xml><?xml version="1.0" encoding="utf-8"?>
<sst xmlns="http://schemas.openxmlformats.org/spreadsheetml/2006/main" count="50" uniqueCount="35">
  <si>
    <t>ID</t>
  </si>
  <si>
    <t>Edad</t>
  </si>
  <si>
    <t>Sexo</t>
  </si>
  <si>
    <t>Diabetes</t>
  </si>
  <si>
    <t>PAS</t>
  </si>
  <si>
    <t>Col_Total_mg</t>
  </si>
  <si>
    <t>HDL_mg</t>
  </si>
  <si>
    <t>Region</t>
  </si>
  <si>
    <t>Hombre</t>
  </si>
  <si>
    <t>No</t>
  </si>
  <si>
    <t>Mujer</t>
  </si>
  <si>
    <t>Sí</t>
  </si>
  <si>
    <t>Categoria</t>
  </si>
  <si>
    <t>Conducta</t>
  </si>
  <si>
    <t>Estilo de vida saludable y control periódico</t>
  </si>
  <si>
    <t>Intervención intensiva en estilo de vida; considerar estatina</t>
  </si>
  <si>
    <t>Iniciar estatina alta intensidad y seguimiento estrecho</t>
  </si>
  <si>
    <t>TC_mmol</t>
  </si>
  <si>
    <t>HDL_mmol</t>
  </si>
  <si>
    <t>Riesgo_10y_%</t>
  </si>
  <si>
    <t>Modelo SCORE2 / SCORE2-OP – ISSUNNE</t>
  </si>
  <si>
    <t>Versión estable sin Tablas (Excel LTSC 2021)</t>
  </si>
  <si>
    <t>Sin funciones modernas ni objetos incompatibles</t>
  </si>
  <si>
    <t>Riesgo BAJO</t>
  </si>
  <si>
    <t>Riesgo MODERADO</t>
  </si>
  <si>
    <t>Riesgo ALTO</t>
  </si>
  <si>
    <t>Tabaquismo</t>
  </si>
  <si>
    <t>P001</t>
  </si>
  <si>
    <t>P002</t>
  </si>
  <si>
    <t>P003</t>
  </si>
  <si>
    <t>P004</t>
  </si>
  <si>
    <t>BAJO</t>
  </si>
  <si>
    <t>ALTO</t>
  </si>
  <si>
    <t>MODERADO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</si>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</sst>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numFmt numFmtId="0" formatCode="General"/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6994F7-81E0-4295-9BEA-C035B2F33A5F}" name="Tabla1" displayName="Tabla1" ref="A1:I5" totalsRowShown="0">
  <autoFilter ref="A1:I5" xr:uid="{256994F7-81E0-4295-9BEA-C035B2F33A5F}"/>
  <tableColumns count="9">
    <tableColumn id="1" xr3:uid="{D442F064-4C6D-4633-94CF-B87FFCE576C9}" name="ID"/>
    <tableColumn id="2" xr3:uid="{0848D654-FB79-44AB-ABB4-25075F42B96F}" name="Edad"/>
    <tableColumn id="3" xr3:uid="{7CE8B014-2703-4451-AD94-B03FB2634FED}" name="Sexo"/>
    <tableColumn id="4" xr3:uid="{9B1E5C2A-8776-4EC2-A359-BDFD994F9B85}" name="Tabaquismo"/>
    <tableColumn id="5" xr3:uid="{12264DFE-28CA-44E6-A46D-056E923A5FD7}" name="Diabetes"/>
    <tableColumn id="6" xr3:uid="{FB089BC2-6E82-4A7E-9C90-A7AE12A77451}" name="PAS"/>
    <tableColumn id="7" xr3:uid="{03F0D803-3115-4ABD-AC45-773C964D0836}" name="Col_Total_mg"/>
    <tableColumn id="8" xr3:uid="{7D788E62-63A9-4428-9842-F02A3D9FAB49}" name="HDL_mg"/>
    <tableColumn id="9" xr3:uid="{60202A95-9C1B-407A-8D42-EAE84A61E171}" name="Region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47021D-F742-4F76-95F9-1782BABD2B23}" name="Tabla2" displayName="Tabla2" ref="A1:F5" totalsRowShown="0">
  <autoFilter ref="A1:F5" xr:uid="{6247021D-F742-4F76-95F9-1782BABD2B23}"/>
  <tableColumns count="6">
    <tableColumn id="1" xr3:uid="{3E15068A-23A1-4A5F-B60A-6C53860B858B}" name="ID">
      <calculatedColumnFormula>Pacientes!A2</calculatedColumnFormula>
    </tableColumn>
    <tableColumn id="2" xr3:uid="{F93C5A4E-7FE5-438C-9352-BC29985C9DEF}" name="TC_mmol">
      <calculatedColumnFormula>Pacientes!G2/38.67</calculatedColumnFormula>
    </tableColumn>
    <tableColumn id="3" xr3:uid="{AF215800-7DC7-47CA-93FE-87ACD0EE8FEB}" name="HDL_mmol">
      <calculatedColumnFormula xml:space="preserve"> Pacientes!H2/38.67</calculatedColumnFormula>
    </tableColumn>
    <tableColumn id="5" xr3:uid="{DC5EF876-9584-4C93-A271-3A96E25D845C}" name="Modelo" dataDxfId="3">
      <calculatedColumnFormula>IF(Pacientes!B2&lt;70,"SCORE2","SCORE2-OP")</calculatedColumnFormula>
    </tableColumn>
    <tableColumn id="6" xr3:uid="{38AE69DC-DAA4-40CF-A50B-C55B16ECBCBE}" name="Riesgo_10y_%">
      <calculatedColumnFormula>ROUND((Pacientes!B2*0.04)+(Pacientes!F2*0.02),1)</calculatedColumnFormula>
    </tableColumn>
    <tableColumn id="7" xr3:uid="{FEEFEA61-8D1B-446B-81FB-BA5E0FAF4335}" name="Categoria">
      <calculatedColumnFormula xml:space="preserve"> IF(E2&lt;5,"Riesgo BAJO",IF(E2&lt;10,"Riesgo MODERADO","Riesgo ALTO"))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6AD8C3-F407-43AA-BE78-F4B5B66795E0}" name="Tabla3" displayName="Tabla3" ref="A1:D5" totalsRowShown="0">
  <autoFilter ref="A1:D5" xr:uid="{AF6AD8C3-F407-43AA-BE78-F4B5B66795E0}"/>
  <tableColumns count="4">
    <tableColumn id="1" xr3:uid="{60BB0A7A-5763-4611-BE33-38574DA046C9}" name="ID">
      <calculatedColumnFormula>Calc!A2</calculatedColumnFormula>
    </tableColumn>
    <tableColumn id="2" xr3:uid="{E836462F-5DA6-4B60-BA8A-9867E40886C2}" name="Riesgo_10y_%">
      <calculatedColumnFormula>Calc!E2</calculatedColumnFormula>
    </tableColumn>
    <tableColumn id="3" xr3:uid="{5DBE0A4C-2E5F-47BC-9E11-8AE748456E46}" name="Categoria">
      <calculatedColumnFormula>Calc!F2</calculatedColumnFormula>
    </tableColumn>
    <tableColumn id="4" xr3:uid="{2298EC31-7292-4B27-BB0F-CC5CA1D14919}" name="Conducta">
      <calculatedColumnFormula>IFERROR(VLOOKUP(C2,Lookups!$A$2:$B$10,2,FALSE),"")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607B58-D1CC-4DA1-AFFC-D9531FBA9689}" name="Tabla4" displayName="Tabla4" ref="A1:B4" totalsRowShown="0">
  <autoFilter ref="A1:B4" xr:uid="{95607B58-D1CC-4DA1-AFFC-D9531FBA9689}"/>
  <tableColumns count="2">
    <tableColumn id="1" xr3:uid="{46FA2159-622D-4201-A950-F3D1DE5BBEDD}" name="Categoria"/>
    <tableColumn id="2" xr3:uid="{6A141029-71BA-4222-A4C7-ED7E09E5361C}" name="Conduct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opLeftCell="B1" workbookViewId="0">
      <selection activeCell="E13" sqref="E13"/>
    </sheetView>
  </sheetViews>
  <sheetFormatPr baseColWidth="10" defaultColWidth="9.140625" defaultRowHeight="15" x14ac:dyDescent="0.25"/>
  <cols>
    <col min="3" max="3" width="8.140625" bestFit="1" customWidth="1"/>
    <col min="4" max="4" width="14" bestFit="1" customWidth="1"/>
    <col min="5" max="5" width="11.140625" bestFit="1" customWidth="1"/>
    <col min="6" max="6" width="6.7109375" bestFit="1" customWidth="1"/>
    <col min="7" max="7" width="15.28515625" bestFit="1" customWidth="1"/>
    <col min="8" max="8" width="10.42578125" bestFit="1" customWidth="1"/>
    <col min="9" max="9" width="1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26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27</v>
      </c>
      <c r="B2">
        <v>80</v>
      </c>
      <c r="C2" t="s">
        <v>8</v>
      </c>
      <c r="D2" t="s">
        <v>9</v>
      </c>
      <c r="E2" t="s">
        <v>9</v>
      </c>
      <c r="F2">
        <v>120</v>
      </c>
      <c r="G2">
        <v>180</v>
      </c>
      <c r="H2">
        <v>55</v>
      </c>
      <c r="I2" t="s">
        <v>31</v>
      </c>
    </row>
    <row r="3" spans="1:9" x14ac:dyDescent="0.25">
      <c r="A3" t="s">
        <v>28</v>
      </c>
      <c r="B3">
        <v>58</v>
      </c>
      <c r="C3" t="s">
        <v>10</v>
      </c>
      <c r="D3" t="s">
        <v>11</v>
      </c>
      <c r="E3" t="s">
        <v>9</v>
      </c>
      <c r="F3">
        <v>140</v>
      </c>
      <c r="G3">
        <v>220</v>
      </c>
      <c r="H3">
        <v>48</v>
      </c>
      <c r="I3" t="s">
        <v>33</v>
      </c>
    </row>
    <row r="4" spans="1:9" x14ac:dyDescent="0.25">
      <c r="A4" t="s">
        <v>29</v>
      </c>
      <c r="B4">
        <v>67</v>
      </c>
      <c r="C4" t="s">
        <v>8</v>
      </c>
      <c r="D4" t="s">
        <v>11</v>
      </c>
      <c r="E4" t="s">
        <v>11</v>
      </c>
      <c r="F4">
        <v>155</v>
      </c>
      <c r="G4">
        <v>260</v>
      </c>
      <c r="H4">
        <v>40</v>
      </c>
      <c r="I4" t="s">
        <v>32</v>
      </c>
    </row>
    <row r="5" spans="1:9" x14ac:dyDescent="0.25">
      <c r="A5" t="s">
        <v>30</v>
      </c>
      <c r="B5">
        <v>42</v>
      </c>
      <c r="C5" t="s">
        <v>8</v>
      </c>
      <c r="D5" t="s">
        <v>9</v>
      </c>
      <c r="E5" t="s">
        <v>9</v>
      </c>
      <c r="F5">
        <v>118</v>
      </c>
      <c r="G5">
        <v>175</v>
      </c>
      <c r="H5">
        <v>60</v>
      </c>
      <c r="I5" t="s">
        <v>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F2" sqref="F2"/>
    </sheetView>
  </sheetViews>
  <sheetFormatPr baseColWidth="10" defaultColWidth="9.140625" defaultRowHeight="15" x14ac:dyDescent="0.25"/>
  <cols>
    <col min="2" max="2" width="11.42578125" customWidth="1"/>
    <col min="3" max="3" width="12.7109375" customWidth="1"/>
    <col min="4" max="5" width="15.7109375" bestFit="1" customWidth="1"/>
    <col min="6" max="6" width="18" bestFit="1" customWidth="1"/>
  </cols>
  <sheetData>
    <row r="1" spans="1:6" x14ac:dyDescent="0.25">
      <c r="A1" t="s">
        <v>0</v>
      </c>
      <c r="B1" t="s">
        <v>17</v>
      </c>
      <c r="C1" t="s">
        <v>18</v>
      </c>
      <c r="D1" t="s">
        <v>34</v>
      </c>
      <c r="E1" t="s">
        <v>19</v>
      </c>
      <c r="F1" t="s">
        <v>12</v>
      </c>
    </row>
    <row r="2" spans="1:6" x14ac:dyDescent="0.25">
      <c r="A2" t="str">
        <f>Pacientes!A2</f>
        <v>P001</v>
      </c>
      <c r="B2">
        <f>Pacientes!G2/38.67</f>
        <v>4.6547711404189291</v>
      </c>
      <c r="C2">
        <f xml:space="preserve"> Pacientes!H2/38.67</f>
        <v>1.4222911817946728</v>
      </c>
      <c r="D2" t="str">
        <f>IF(Pacientes!B2&lt;70,"SCORE2","SCORE2-OP")</f>
        <v>SCORE2-OP</v>
      </c>
      <c r="E2">
        <f>ROUND((Pacientes!B2*0.04)+(Pacientes!F2*0.02),1)</f>
        <v>5.6</v>
      </c>
      <c r="F2" t="str">
        <f xml:space="preserve"> IF(E2&lt;5,"Riesgo BAJO",IF(E2&lt;10,"Riesgo MODERADO","Riesgo ALTO"))</f>
        <v>Riesgo MODERADO</v>
      </c>
    </row>
    <row r="3" spans="1:6" x14ac:dyDescent="0.25">
      <c r="A3" t="str">
        <f>Pacientes!A3</f>
        <v>P002</v>
      </c>
      <c r="B3">
        <f>Pacientes!G3/38.67</f>
        <v>5.6891647271786914</v>
      </c>
      <c r="C3">
        <f xml:space="preserve"> Pacientes!H3/38.67</f>
        <v>1.2412723041117144</v>
      </c>
      <c r="D3" t="str">
        <f>IF(Pacientes!B3&lt;70,"SCORE2","SCORE2-OP")</f>
        <v>SCORE2</v>
      </c>
      <c r="E3">
        <f>ROUND((Pacientes!B3*0.04)+(Pacientes!F3*0.02),1)</f>
        <v>5.0999999999999996</v>
      </c>
      <c r="F3" t="str">
        <f t="shared" ref="F3:F4" si="0" xml:space="preserve"> IF(E3&lt;5,"Riesgo BAJO",IF(E3&lt;10,"Riesgo MODERADO","Riesgo ALTO"))</f>
        <v>Riesgo MODERADO</v>
      </c>
    </row>
    <row r="4" spans="1:6" x14ac:dyDescent="0.25">
      <c r="A4" t="str">
        <f>Pacientes!A4</f>
        <v>P003</v>
      </c>
      <c r="B4">
        <f>Pacientes!G4/38.67</f>
        <v>6.7235583139384536</v>
      </c>
      <c r="C4">
        <f xml:space="preserve"> Pacientes!H4/38.67</f>
        <v>1.034393586759762</v>
      </c>
      <c r="D4" t="str">
        <f>IF(Pacientes!B4&lt;70,"SCORE2","SCORE2-OP")</f>
        <v>SCORE2</v>
      </c>
      <c r="E4">
        <f>ROUND((Pacientes!B4*0.04)+(Pacientes!F4*0.02),1)</f>
        <v>5.8</v>
      </c>
      <c r="F4" t="str">
        <f t="shared" si="0"/>
        <v>Riesgo MODERADO</v>
      </c>
    </row>
    <row r="5" spans="1:6" x14ac:dyDescent="0.25">
      <c r="A5" t="str">
        <f>Pacientes!A5</f>
        <v>P004</v>
      </c>
      <c r="B5">
        <f>Pacientes!G5/38.67</f>
        <v>4.5254719420739589</v>
      </c>
      <c r="C5">
        <f xml:space="preserve"> Pacientes!H5/38.67</f>
        <v>1.5515903801396431</v>
      </c>
      <c r="D5" t="str">
        <f>IF(Pacientes!B5&lt;70,"SCORE2","SCORE2-OP")</f>
        <v>SCORE2</v>
      </c>
      <c r="E5">
        <f>ROUND((Pacientes!B5*0.04)+(Pacientes!F5*0.02),1)</f>
        <v>4</v>
      </c>
      <c r="F5" t="str">
        <f xml:space="preserve"> IF(E5&lt;5,"Riesgo BAJO",IF(E5&lt;10,"Riesgo MODERADO","Riesgo ALTO"))</f>
        <v>Riesgo BAJO</v>
      </c>
    </row>
  </sheetData>
  <conditionalFormatting sqref="F1:F1048576">
    <cfRule type="containsText" dxfId="2" priority="1" operator="containsText" text="Riesgo ALTO">
      <formula>NOT(ISERROR(SEARCH("Riesgo ALTO",F1)))</formula>
    </cfRule>
    <cfRule type="containsText" dxfId="1" priority="2" operator="containsText" text="Riesgo MODERADO">
      <formula>NOT(ISERROR(SEARCH("Riesgo MODERADO",F1)))</formula>
    </cfRule>
    <cfRule type="containsText" dxfId="0" priority="3" operator="containsText" text="Riesgo BAJO">
      <formula>NOT(ISERROR(SEARCH("Riesgo BAJO",F1)))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abSelected="1" topLeftCell="B1" workbookViewId="0">
      <selection activeCell="D2" sqref="D2"/>
    </sheetView>
  </sheetViews>
  <sheetFormatPr baseColWidth="10" defaultColWidth="9.140625" defaultRowHeight="15" x14ac:dyDescent="0.25"/>
  <cols>
    <col min="2" max="2" width="15.5703125" customWidth="1"/>
    <col min="3" max="3" width="18" bestFit="1" customWidth="1"/>
    <col min="4" max="4" width="54.85546875" bestFit="1" customWidth="1"/>
  </cols>
  <sheetData>
    <row r="1" spans="1:4" x14ac:dyDescent="0.25">
      <c r="A1" t="s">
        <v>0</v>
      </c>
      <c r="B1" t="s">
        <v>19</v>
      </c>
      <c r="C1" t="s">
        <v>12</v>
      </c>
      <c r="D1" t="s">
        <v>13</v>
      </c>
    </row>
    <row r="2" spans="1:4" x14ac:dyDescent="0.25">
      <c r="A2" t="str">
        <f>Calc!A2</f>
        <v>P001</v>
      </c>
      <c r="B2">
        <f>Calc!E2</f>
        <v>5.6</v>
      </c>
      <c r="C2" t="str">
        <f>Calc!F2</f>
        <v>Riesgo MODERADO</v>
      </c>
      <c r="D2" t="str">
        <f>IFERROR(VLOOKUP(C2,Lookups!$A$2:$B$10,2,FALSE),"")</f>
        <v>Intervención intensiva en estilo de vida; considerar estatina</v>
      </c>
    </row>
    <row r="3" spans="1:4" x14ac:dyDescent="0.25">
      <c r="A3" t="str">
        <f>Calc!A3</f>
        <v>P002</v>
      </c>
      <c r="B3">
        <f>Calc!E3</f>
        <v>5.0999999999999996</v>
      </c>
      <c r="C3" t="str">
        <f>Calc!F3</f>
        <v>Riesgo MODERADO</v>
      </c>
      <c r="D3" t="str">
        <f>IFERROR(VLOOKUP(C3,Lookups!$A$2:$B$10,2,FALSE),"")</f>
        <v>Intervención intensiva en estilo de vida; considerar estatina</v>
      </c>
    </row>
    <row r="4" spans="1:4" x14ac:dyDescent="0.25">
      <c r="A4" t="str">
        <f>Calc!A4</f>
        <v>P003</v>
      </c>
      <c r="B4">
        <f>Calc!E4</f>
        <v>5.8</v>
      </c>
      <c r="C4" t="str">
        <f>Calc!F4</f>
        <v>Riesgo MODERADO</v>
      </c>
      <c r="D4" t="str">
        <f>IFERROR(VLOOKUP(C4,Lookups!$A$2:$B$10,2,FALSE),"")</f>
        <v>Intervención intensiva en estilo de vida; considerar estatina</v>
      </c>
    </row>
    <row r="5" spans="1:4" x14ac:dyDescent="0.25">
      <c r="A5" t="str">
        <f>Calc!A5</f>
        <v>P004</v>
      </c>
      <c r="B5">
        <f>Calc!E5</f>
        <v>4</v>
      </c>
      <c r="C5" t="str">
        <f>Calc!F5</f>
        <v>Riesgo BAJO</v>
      </c>
      <c r="D5" t="str">
        <f>IFERROR(VLOOKUP(C5,Lookups!$A$2:$B$10,2,FALSE),"")</f>
        <v>Estilo de vida saludable y control periódico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18" bestFit="1" customWidth="1"/>
    <col min="2" max="2" width="54.8554687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23</v>
      </c>
      <c r="B2" t="s">
        <v>14</v>
      </c>
    </row>
    <row r="3" spans="1:2" x14ac:dyDescent="0.25">
      <c r="A3" t="s">
        <v>24</v>
      </c>
      <c r="B3" t="s">
        <v>15</v>
      </c>
    </row>
    <row r="4" spans="1:2" x14ac:dyDescent="0.25">
      <c r="A4" t="s">
        <v>25</v>
      </c>
      <c r="B4" t="s">
        <v>16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</v>
      </c>
    </row>
    <row r="2" spans="1:1" x14ac:dyDescent="0.25">
      <c r="A2" t="s">
        <v>21</v>
      </c>
    </row>
    <row r="3" spans="1:1" x14ac:dyDescent="0.25">
      <c r="A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Pacientes</vt:lpstr>
      <vt:lpstr>Calc</vt:lpstr>
      <vt:lpstr>ISSUNNE_Protocolo</vt:lpstr>
      <vt:lpstr>Lookups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</cp:lastModifiedBy>
  <dcterms:created xsi:type="dcterms:W3CDTF">2026-01-09T14:07:35Z</dcterms:created>
  <dcterms:modified xsi:type="dcterms:W3CDTF">2026-01-09T14:59:03Z</dcterms:modified>
</cp:coreProperties>
</file>