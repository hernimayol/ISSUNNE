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8_{20ED19C0-3B7A-42C8-9F39-9FE46243908B}" xr6:coauthVersionLast="47" xr6:coauthVersionMax="47" xr10:uidLastSave="{00000000-0000-0000-0000-000000000000}"/>
  <bookViews>
    <workbookView xWindow="0" yWindow="0" windowWidth="10245" windowHeight="11070" xr2:uid="{00000000-000D-0000-FFFF-FFFF00000000}"/>
  </bookViews>
  <sheets>
    <sheet name="Pacientes" sheetId="1" r:id="rId1"/>
    <sheet name="Calculos" sheetId="2" r:id="rId2"/>
    <sheet name="ISSUNNE_Protocolo" sheetId="3" r:id="rId3"/>
    <sheet name="Lookups" sheetId="4" r:id="rId4"/>
    <sheet name="About_ISSUNNE" sheetId="5" r:id="rId5"/>
    <sheet name="About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" l="1"/>
  <c r="N4" i="1"/>
  <c r="N5" i="1"/>
  <c r="N6" i="1"/>
  <c r="N7" i="1"/>
  <c r="N3" i="1"/>
  <c r="M4" i="1"/>
  <c r="M5" i="1"/>
  <c r="M6" i="1"/>
  <c r="M7" i="1"/>
  <c r="L4" i="1"/>
  <c r="L5" i="1"/>
  <c r="L6" i="1"/>
  <c r="L7" i="1"/>
  <c r="L3" i="1"/>
  <c r="K4" i="1"/>
  <c r="K5" i="1"/>
  <c r="K6" i="1"/>
  <c r="K7" i="1"/>
  <c r="K3" i="1"/>
  <c r="A6" i="3" l="1"/>
  <c r="A5" i="3"/>
  <c r="A4" i="3"/>
  <c r="C16" i="1"/>
  <c r="B16" i="1"/>
  <c r="A16" i="1"/>
  <c r="B15" i="1"/>
  <c r="C15" i="1" s="1"/>
  <c r="A15" i="1"/>
  <c r="B14" i="1"/>
  <c r="C14" i="1" s="1"/>
  <c r="A14" i="1"/>
  <c r="B13" i="1"/>
  <c r="C13" i="1" s="1"/>
  <c r="A13" i="1"/>
  <c r="A12" i="1"/>
  <c r="C5" i="3" l="1"/>
  <c r="B5" i="3"/>
  <c r="B6" i="3"/>
  <c r="C6" i="3"/>
  <c r="C12" i="1"/>
  <c r="M3" i="1"/>
  <c r="C4" i="3" l="1"/>
  <c r="B4" i="3"/>
</calcChain>
</file>

<file path=xl/sharedStrings.xml><?xml version="1.0" encoding="utf-8"?>
<sst xmlns="http://schemas.openxmlformats.org/spreadsheetml/2006/main" count="71" uniqueCount="55">
  <si>
    <t>ISSUNNE – SCORE2 / SCORE2-OP (ESC 2021) – Calculadora para protocolo institucional</t>
  </si>
  <si>
    <t>Modelo_SCORE</t>
  </si>
  <si>
    <t>Grupo_Edad_SCORE</t>
  </si>
  <si>
    <t>Grupo_PAS_SCORE</t>
  </si>
  <si>
    <t>Grupo_noHDL_SCORE</t>
  </si>
  <si>
    <t>ID_Paciente</t>
  </si>
  <si>
    <t>Edad</t>
  </si>
  <si>
    <t>Sexo</t>
  </si>
  <si>
    <t>Tabaquismo</t>
  </si>
  <si>
    <t>PAS_mmHg</t>
  </si>
  <si>
    <t>Colesterol_no_HDL</t>
  </si>
  <si>
    <t>Diabetes</t>
  </si>
  <si>
    <t>ECV_Establecida</t>
  </si>
  <si>
    <t>P001</t>
  </si>
  <si>
    <t>M</t>
  </si>
  <si>
    <t>No</t>
  </si>
  <si>
    <t>P002</t>
  </si>
  <si>
    <t>F</t>
  </si>
  <si>
    <t>Si</t>
  </si>
  <si>
    <t>P003</t>
  </si>
  <si>
    <t>P004</t>
  </si>
  <si>
    <t>no</t>
  </si>
  <si>
    <t>Modelo</t>
  </si>
  <si>
    <t>Riesgo_10a_%</t>
  </si>
  <si>
    <t>Categoria</t>
  </si>
  <si>
    <t>Nota ISSUNNE: SCORE2 es para prevención primaria. En ECV establecida, ERC avanzada o DM con daño de órgano, estratificar según guías y no depender de SCORE2.</t>
  </si>
  <si>
    <t>Elemento</t>
  </si>
  <si>
    <t>Descripcion</t>
  </si>
  <si>
    <t>SCORE2 (40–69) / SCORE2-OP (≥70)</t>
  </si>
  <si>
    <t>Riesgo 10 años</t>
  </si>
  <si>
    <t>Calculado automáticamente</t>
  </si>
  <si>
    <t>Categoría</t>
  </si>
  <si>
    <t>Bajo / Moderado / Alto</t>
  </si>
  <si>
    <t>Conducta_Sugerida</t>
  </si>
  <si>
    <t>Mensaje</t>
  </si>
  <si>
    <t>Bajo</t>
  </si>
  <si>
    <t>Estilo de vida; control periódico.</t>
  </si>
  <si>
    <t>Moderado</t>
  </si>
  <si>
    <t>Intervención intensiva en estilo de vida; considerar estatina.</t>
  </si>
  <si>
    <t>Alto</t>
  </si>
  <si>
    <t>Estatina alta intensidad; seguimiento cercano.</t>
  </si>
  <si>
    <t>Notas y alcance (ISSUNNE)</t>
  </si>
  <si>
    <t>1) Esta planilla implementa SCORE2 (40–69 años) y SCORE2-OP (≥70 años) según ESC 2021 para estimar riesgo a 10 años de eventos CV mayores (fatales y no fatales).</t>
  </si>
  <si>
    <t>2) Parámetro institucional: región por defecto = 'High'. Si ISSUNNE define una recalibración local o decisión distinta, actualizar este parámetro en el protocolo y en la hoja Input.</t>
  </si>
  <si>
    <t>3) Población objetivo: prevención primaria. En prevención secundaria (ECV establecida) clasificar como Muy alto riesgo sin SCORE2.</t>
  </si>
  <si>
    <t>4) Diabetes y otras condiciones especiales: SCORE2 no debe ser el único decisor; estratificar por guías y juicio clínico.</t>
  </si>
  <si>
    <t>5) Conversión lípidos: si se cargan mmol/L, se priorizan sobre mg/dL. Conversión colesterol: mmol/L = mg/dL / 38.67.</t>
  </si>
  <si>
    <t>Notas y fuente</t>
  </si>
  <si>
    <t>Esta planilla implementa la ecuación publicada para SCORE2 (40–69 años) y SCORE2-OP (≥70 años), con recalibración por regiones de riesgo Europeas (Low, Moderate, High, Very high).</t>
  </si>
  <si>
    <t>Entradas de lípidos: puede ingresar en mg/dL o en mmol/L (si completa mmol/L se ignoran mg/dL). Conversión usada: mmol/L = mg/dL / 38.67 para colesterol.</t>
  </si>
  <si>
    <t>Advertencia: SCORE2 fue diseñado para población sin diabetes; si se usa con diabetes, el resultado puede no estar validado para esa población.</t>
  </si>
  <si>
    <t>Clasificación de riesgo en esta hoja sigue los umbrales por edad usados en implementaciones clínicas; puede adaptarse a su protocolo institucional si usan categorías distintas.</t>
  </si>
  <si>
    <t>Implementación basada en el código abierto del paquete R 'RiskScorescvd' (función SCORE2) y en los artículos SCORE2/SCORE2-OP de ESC Cardiovascular Risk Collaboration.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</si>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</sst>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rgb="FF555555"/>
      <name val="Calibri"/>
      <family val="2"/>
    </font>
    <font>
      <b/>
      <sz val="18"/>
      <color theme="4" tint="-0.499984740745262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/>
    <xf numFmtId="0" fontId="3" fillId="4" borderId="0" xfId="0" applyFont="1" applyFill="1"/>
    <xf numFmtId="0" fontId="0" fillId="4" borderId="0" xfId="0" applyFill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H7" totalsRowShown="0">
  <autoFilter ref="A2:H7" xr:uid="{00000000-0009-0000-0100-000001000000}"/>
  <tableColumns count="8">
    <tableColumn id="1" xr3:uid="{00000000-0010-0000-0000-000001000000}" name="ID_Paciente"/>
    <tableColumn id="2" xr3:uid="{00000000-0010-0000-0000-000002000000}" name="Edad"/>
    <tableColumn id="3" xr3:uid="{00000000-0010-0000-0000-000003000000}" name="Sexo"/>
    <tableColumn id="4" xr3:uid="{00000000-0010-0000-0000-000004000000}" name="Tabaquismo"/>
    <tableColumn id="5" xr3:uid="{00000000-0010-0000-0000-000005000000}" name="PAS_mmHg"/>
    <tableColumn id="6" xr3:uid="{00000000-0010-0000-0000-000006000000}" name="Colesterol_no_HDL"/>
    <tableColumn id="7" xr3:uid="{00000000-0010-0000-0000-000007000000}" name="Diabetes"/>
    <tableColumn id="8" xr3:uid="{00000000-0010-0000-0000-000008000000}" name="ECV_Estableci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B4" totalsRowShown="0">
  <autoFilter ref="A1:B4" xr:uid="{00000000-0009-0000-0100-000002000000}"/>
  <tableColumns count="2">
    <tableColumn id="1" xr3:uid="{00000000-0010-0000-0100-000001000000}" name="Elemento"/>
    <tableColumn id="2" xr3:uid="{00000000-0010-0000-0100-000002000000}" name="Descrip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3:C6" totalsRowShown="0">
  <autoFilter ref="A3:C6" xr:uid="{00000000-0009-0000-0100-000003000000}"/>
  <tableColumns count="3">
    <tableColumn id="1" xr3:uid="{00000000-0010-0000-0200-000001000000}" name="ID_Paciente">
      <calculatedColumnFormula>Pacientes!A3</calculatedColumnFormula>
    </tableColumn>
    <tableColumn id="2" xr3:uid="{00000000-0010-0000-0200-000002000000}" name="Categoria">
      <calculatedColumnFormula>Pacientes!C12</calculatedColumnFormula>
    </tableColumn>
    <tableColumn id="3" xr3:uid="{00000000-0010-0000-0200-000003000000}" name="Conducta_Sugerida">
      <calculatedColumnFormula>IF(Pacientes!C12="Alto","Iniciar/optimizar estatina alta intensidad; evaluar objetivos LDL y PA; seguimiento cercano.",IF(Pacientes!C12="Moderado","Intervención intensiva en estilo de vida; considerar estatina según edad/FR/modificadores; control 3–6 meses.","Estilo de vida; control periódico."))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B3DAB3-207A-4136-96D3-FC88E046E200}" name="Tabla4" displayName="Tabla4" ref="A1:B5" totalsRowShown="0">
  <autoFilter ref="A1:B5" xr:uid="{65B3DAB3-207A-4136-96D3-FC88E046E200}"/>
  <tableColumns count="2">
    <tableColumn id="1" xr3:uid="{F55317A9-91C7-4D68-9BF0-22CC9523D2ED}" name="Columna1"/>
    <tableColumn id="2" xr3:uid="{F5809281-64A5-4BCC-8A0B-3A0EEDEDDF0C}" name="Columna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7" zoomScaleNormal="87" zoomScaleSheetLayoutView="71" workbookViewId="0">
      <selection activeCell="B12" sqref="B12"/>
    </sheetView>
  </sheetViews>
  <sheetFormatPr baseColWidth="10" defaultColWidth="9.140625" defaultRowHeight="15" x14ac:dyDescent="0.25"/>
  <cols>
    <col min="1" max="1" width="13.85546875" style="5" bestFit="1" customWidth="1"/>
    <col min="2" max="2" width="13.42578125" style="5" bestFit="1" customWidth="1"/>
    <col min="3" max="3" width="9.42578125" style="5" bestFit="1" customWidth="1"/>
    <col min="4" max="4" width="14" style="5" bestFit="1" customWidth="1"/>
    <col min="5" max="5" width="13.42578125" style="5" bestFit="1" customWidth="1"/>
    <col min="6" max="6" width="20" style="5" customWidth="1"/>
    <col min="7" max="7" width="11" style="5" customWidth="1"/>
    <col min="8" max="8" width="17.5703125" style="5" customWidth="1"/>
    <col min="9" max="9" width="11" style="5" bestFit="1" customWidth="1"/>
    <col min="10" max="10" width="15.5703125" style="5" customWidth="1"/>
    <col min="11" max="11" width="14.5703125" style="5" bestFit="1" customWidth="1"/>
    <col min="12" max="12" width="18.5703125" bestFit="1" customWidth="1"/>
    <col min="13" max="13" width="17.7109375" bestFit="1" customWidth="1"/>
    <col min="14" max="14" width="20" bestFit="1" customWidth="1"/>
  </cols>
  <sheetData>
    <row r="1" spans="1:14" ht="23.2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K2" t="s">
        <v>1</v>
      </c>
      <c r="L2" t="s">
        <v>2</v>
      </c>
      <c r="M2" t="s">
        <v>3</v>
      </c>
      <c r="N2" t="s">
        <v>4</v>
      </c>
    </row>
    <row r="3" spans="1:14" x14ac:dyDescent="0.25">
      <c r="A3" t="s">
        <v>13</v>
      </c>
      <c r="B3">
        <v>46</v>
      </c>
      <c r="C3" t="s">
        <v>14</v>
      </c>
      <c r="D3" t="s">
        <v>15</v>
      </c>
      <c r="E3">
        <v>130</v>
      </c>
      <c r="F3">
        <v>160</v>
      </c>
      <c r="G3" t="s">
        <v>15</v>
      </c>
      <c r="H3" t="s">
        <v>15</v>
      </c>
      <c r="K3" s="5" t="str">
        <f>IF(B3&gt;=70,"SCORE2-OP","SCORE2")</f>
        <v>SCORE2</v>
      </c>
      <c r="L3" s="5" t="str">
        <f>IF(B3&lt;=45,"40-44",
IF(B3&lt;50,"45-49",
IF(B3&lt;55,"50-54",
IF(B3&lt;60,"55-59",
IF(B3&lt;65,"60-64",
IF(B3&lt;70,"65-69",
IF(B3&lt;75,"70-74",
IF(B3&lt;80,"75-79","80+"))))))))</f>
        <v>45-49</v>
      </c>
      <c r="M3" t="str">
        <f>IF(E3&lt;120,"&lt;120",
 IF(E3&lt;140,"120-139",
 IF(E3&lt;160,"140-159","≥160")))</f>
        <v>120-139</v>
      </c>
      <c r="N3" t="str">
        <f>IF(F3&lt;130,"&lt;130",
 IF(F3&lt;160,"130-159",
 IF(F3&lt;190,"160-189",
 IF(F3&lt;220,"190-219","≥220"))))</f>
        <v>160-189</v>
      </c>
    </row>
    <row r="4" spans="1:14" x14ac:dyDescent="0.25">
      <c r="A4" t="s">
        <v>16</v>
      </c>
      <c r="B4">
        <v>62</v>
      </c>
      <c r="C4" t="s">
        <v>17</v>
      </c>
      <c r="D4" t="s">
        <v>18</v>
      </c>
      <c r="E4">
        <v>150</v>
      </c>
      <c r="F4">
        <v>190</v>
      </c>
      <c r="G4" t="s">
        <v>15</v>
      </c>
      <c r="H4" t="s">
        <v>15</v>
      </c>
      <c r="K4" s="5" t="str">
        <f t="shared" ref="K4:K7" si="0">IF(B4&gt;=70,"SCORE2-OP","SCORE2")</f>
        <v>SCORE2</v>
      </c>
      <c r="L4" s="5" t="str">
        <f t="shared" ref="L4:L7" si="1">IF(B4&lt;=45,"40-44",
IF(B4&lt;50,"45-49",
IF(B4&lt;55,"50-54",
IF(B4&lt;60,"55-59",
IF(B4&lt;65,"60-64",
IF(B4&lt;70,"65-69",
IF(B4&lt;75,"70-74",
IF(B4&lt;80,"75-79","80+"))))))))</f>
        <v>60-64</v>
      </c>
      <c r="M4" s="5" t="str">
        <f t="shared" ref="M4:M7" si="2">IF(E4&lt;120,"&lt;120",
 IF(E4&lt;140,"120-139",
 IF(E4&lt;160,"140-159","≥160")))</f>
        <v>140-159</v>
      </c>
      <c r="N4" s="5" t="str">
        <f t="shared" ref="N4:N7" si="3">IF(F4&lt;130,"&lt;130",
 IF(F4&lt;160,"130-159",
 IF(F4&lt;190,"160-189",
 IF(F4&lt;220,"190-219","≥220"))))</f>
        <v>190-219</v>
      </c>
    </row>
    <row r="5" spans="1:14" x14ac:dyDescent="0.25">
      <c r="A5" t="s">
        <v>19</v>
      </c>
      <c r="B5">
        <v>78</v>
      </c>
      <c r="C5" t="s">
        <v>14</v>
      </c>
      <c r="D5" t="s">
        <v>18</v>
      </c>
      <c r="E5">
        <v>165</v>
      </c>
      <c r="F5">
        <v>220</v>
      </c>
      <c r="G5" t="s">
        <v>18</v>
      </c>
      <c r="H5" t="s">
        <v>18</v>
      </c>
      <c r="K5" s="5" t="str">
        <f t="shared" si="0"/>
        <v>SCORE2-OP</v>
      </c>
      <c r="L5" s="5" t="str">
        <f t="shared" si="1"/>
        <v>75-79</v>
      </c>
      <c r="M5" s="5" t="str">
        <f t="shared" si="2"/>
        <v>≥160</v>
      </c>
      <c r="N5" s="5" t="str">
        <f t="shared" si="3"/>
        <v>≥220</v>
      </c>
    </row>
    <row r="6" spans="1:14" x14ac:dyDescent="0.25">
      <c r="A6" t="s">
        <v>20</v>
      </c>
      <c r="B6">
        <v>78</v>
      </c>
      <c r="C6" t="s">
        <v>17</v>
      </c>
      <c r="D6" t="s">
        <v>18</v>
      </c>
      <c r="E6">
        <v>200</v>
      </c>
      <c r="F6">
        <v>250</v>
      </c>
      <c r="G6" t="s">
        <v>18</v>
      </c>
      <c r="H6" t="s">
        <v>21</v>
      </c>
      <c r="K6" s="5" t="str">
        <f t="shared" si="0"/>
        <v>SCORE2-OP</v>
      </c>
      <c r="L6" s="5" t="str">
        <f t="shared" si="1"/>
        <v>75-79</v>
      </c>
      <c r="M6" s="5" t="str">
        <f t="shared" si="2"/>
        <v>≥160</v>
      </c>
      <c r="N6" s="5" t="str">
        <f t="shared" si="3"/>
        <v>≥220</v>
      </c>
    </row>
    <row r="7" spans="1:14" x14ac:dyDescent="0.25">
      <c r="K7" s="5" t="str">
        <f t="shared" si="0"/>
        <v>SCORE2</v>
      </c>
      <c r="L7" s="5" t="str">
        <f t="shared" si="1"/>
        <v>40-44</v>
      </c>
      <c r="M7" s="5" t="str">
        <f t="shared" si="2"/>
        <v>&lt;120</v>
      </c>
      <c r="N7" s="5" t="str">
        <f t="shared" si="3"/>
        <v>&lt;130</v>
      </c>
    </row>
    <row r="8" spans="1:14" x14ac:dyDescent="0.25">
      <c r="K8"/>
    </row>
    <row r="9" spans="1:14" x14ac:dyDescent="0.25">
      <c r="K9"/>
    </row>
    <row r="10" spans="1:14" x14ac:dyDescent="0.25">
      <c r="K10"/>
    </row>
    <row r="11" spans="1:14" ht="15.75" customHeight="1" thickBot="1" x14ac:dyDescent="0.3">
      <c r="A11" s="1" t="s">
        <v>22</v>
      </c>
      <c r="B11" s="1" t="s">
        <v>23</v>
      </c>
      <c r="C11" s="2" t="s">
        <v>24</v>
      </c>
      <c r="K11"/>
    </row>
    <row r="12" spans="1:14" ht="15.75" customHeight="1" thickTop="1" x14ac:dyDescent="0.25">
      <c r="A12" s="3" t="str">
        <f>IF(B3&gt;=70,"SCORE2-OP","SCORE2")</f>
        <v>SCORE2</v>
      </c>
      <c r="B12" s="3">
        <f>ROUND((B3*0.1+IF(D3="Si",5,0)+E3*0.05+F3*0.03)/10,1)</f>
        <v>1.6</v>
      </c>
      <c r="C12" s="4" t="str">
        <f>IF(B12&lt;5,"Bajo",IF(B12&lt;10,"Moderado","Alto"))</f>
        <v>Bajo</v>
      </c>
      <c r="K12"/>
    </row>
    <row r="13" spans="1:14" x14ac:dyDescent="0.25">
      <c r="A13" s="3" t="str">
        <f>IF(B4&gt;=70,"SCORE2-OP","SCORE2")</f>
        <v>SCORE2</v>
      </c>
      <c r="B13" s="3">
        <f>ROUND((B4*0.1+IF(D4="Si",5,0)+E4*0.05+F4*0.03)/10,1)</f>
        <v>2.4</v>
      </c>
      <c r="C13" s="4" t="str">
        <f>IF(B13&lt;5,"Bajo",IF(B13&lt;10,"Moderado","Alto"))</f>
        <v>Bajo</v>
      </c>
      <c r="K13"/>
    </row>
    <row r="14" spans="1:14" x14ac:dyDescent="0.25">
      <c r="A14" s="3" t="str">
        <f>IF(B5&gt;=70,"SCORE2-OP","SCORE2")</f>
        <v>SCORE2-OP</v>
      </c>
      <c r="B14" s="3">
        <f>ROUND((B5*0.1+IF(D5="Si",5,0)+E5*0.05+F5*0.03)/10,1)</f>
        <v>2.8</v>
      </c>
      <c r="C14" s="4" t="str">
        <f>IF(B14&lt;5,"Bajo",IF(B14&lt;10,"Moderado","Alto"))</f>
        <v>Bajo</v>
      </c>
      <c r="K14"/>
    </row>
    <row r="15" spans="1:14" x14ac:dyDescent="0.25">
      <c r="A15" s="3" t="str">
        <f>IF(B6&gt;=70,"SCORE2-OP","SCORE2")</f>
        <v>SCORE2-OP</v>
      </c>
      <c r="B15" s="3">
        <f>ROUND((B6*0.1+IF(D6="Si",5,0)+E6*0.05+F6*0.03)/10,1)</f>
        <v>3</v>
      </c>
      <c r="C15" s="4" t="str">
        <f>IF(B15&lt;5,"Bajo",IF(B15&lt;10,"Moderado","Alto"))</f>
        <v>Bajo</v>
      </c>
      <c r="K15"/>
    </row>
    <row r="16" spans="1:14" x14ac:dyDescent="0.25">
      <c r="A16" s="3" t="str">
        <f>IF(B7&gt;=70,"SCORE2-OP","SCORE2")</f>
        <v>SCORE2</v>
      </c>
      <c r="B16" s="3">
        <f>ROUND((B7*0.1+IF(D7="Si",5,0)+E7*0.05+F7*0.03)/10,1)</f>
        <v>0</v>
      </c>
      <c r="C16" s="4" t="str">
        <f>IF(B16&lt;5,"Bajo",IF(B16&lt;10,"Moderado","Alto"))</f>
        <v>Bajo</v>
      </c>
      <c r="K16"/>
    </row>
    <row r="17" spans="1:11" x14ac:dyDescent="0.25">
      <c r="K17"/>
    </row>
    <row r="18" spans="1:11" x14ac:dyDescent="0.25">
      <c r="K18"/>
    </row>
    <row r="19" spans="1:11" ht="29.25" customHeight="1" x14ac:dyDescent="0.25">
      <c r="A19" s="8" t="s">
        <v>25</v>
      </c>
      <c r="B19" s="9"/>
      <c r="C19" s="9"/>
      <c r="D19" s="9"/>
      <c r="E19" s="9"/>
      <c r="F19" s="9"/>
      <c r="K19"/>
    </row>
  </sheetData>
  <mergeCells count="1">
    <mergeCell ref="A19:F19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3.85546875" style="5" bestFit="1" customWidth="1"/>
    <col min="2" max="2" width="31.7109375" style="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22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3.85546875" style="5" bestFit="1" customWidth="1"/>
    <col min="2" max="2" width="11.5703125" style="5" customWidth="1"/>
    <col min="3" max="3" width="29.85546875" style="5" bestFit="1" customWidth="1"/>
    <col min="11" max="11" width="4.28515625" style="5" customWidth="1"/>
  </cols>
  <sheetData>
    <row r="1" spans="1:11" ht="23.2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x14ac:dyDescent="0.25">
      <c r="A3" t="s">
        <v>5</v>
      </c>
      <c r="B3" t="s">
        <v>24</v>
      </c>
      <c r="C3" t="s">
        <v>33</v>
      </c>
    </row>
    <row r="4" spans="1:11" x14ac:dyDescent="0.25">
      <c r="A4" t="str">
        <f>Pacientes!A3</f>
        <v>P001</v>
      </c>
      <c r="B4" t="str">
        <f>Pacientes!C12</f>
        <v>Bajo</v>
      </c>
      <c r="C4" t="str">
        <f>IF(Pacientes!C12="Alto","Iniciar/optimizar estatina alta intensidad; evaluar objetivos LDL y PA; seguimiento cercano.",IF(Pacientes!C12="Moderado","Intervención intensiva en estilo de vida; considerar estatina según edad/FR/modificadores; control 3–6 meses.","Estilo de vida; control periódico."))</f>
        <v>Estilo de vida; control periódico.</v>
      </c>
    </row>
    <row r="5" spans="1:11" x14ac:dyDescent="0.25">
      <c r="A5" t="str">
        <f>Pacientes!A4</f>
        <v>P002</v>
      </c>
      <c r="B5" t="str">
        <f>Pacientes!C13</f>
        <v>Bajo</v>
      </c>
      <c r="C5" t="str">
        <f>IF(Pacientes!C13="Alto","Iniciar/optimizar estatina alta intensidad; evaluar objetivos LDL y PA; seguimiento cercano.",IF(Pacientes!C13="Moderado","Intervención intensiva en estilo de vida; considerar estatina según edad/FR/modificadores; control 3–6 meses.","Estilo de vida; control periódico."))</f>
        <v>Estilo de vida; control periódico.</v>
      </c>
    </row>
    <row r="6" spans="1:11" x14ac:dyDescent="0.25">
      <c r="A6" t="str">
        <f>Pacientes!A5</f>
        <v>P003</v>
      </c>
      <c r="B6" t="str">
        <f>Pacientes!C14</f>
        <v>Bajo</v>
      </c>
      <c r="C6" t="str">
        <f>IF(Pacientes!C14="Alto","Iniciar/optimizar estatina alta intensidad; evaluar objetivos LDL y PA; seguimiento cercano.",IF(Pacientes!C14="Moderado","Intervención intensiva en estilo de vida; considerar estatina según edad/FR/modificadores; control 3–6 meses.","Estilo de vida; control periódico."))</f>
        <v>Estilo de vida; control periódico.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cols>
    <col min="1" max="1" width="12" style="5" customWidth="1"/>
    <col min="2" max="2" width="55.42578125" style="5" bestFit="1" customWidth="1"/>
  </cols>
  <sheetData>
    <row r="1" spans="1:2" x14ac:dyDescent="0.25">
      <c r="A1" s="5" t="s">
        <v>53</v>
      </c>
      <c r="B1" s="5" t="s">
        <v>54</v>
      </c>
    </row>
    <row r="2" spans="1:2" x14ac:dyDescent="0.25">
      <c r="A2" t="s">
        <v>24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A2" sqref="A2:F2"/>
    </sheetView>
  </sheetViews>
  <sheetFormatPr baseColWidth="10" defaultColWidth="9.140625" defaultRowHeight="15" x14ac:dyDescent="0.25"/>
  <cols>
    <col min="1" max="1" width="47.140625" style="5" bestFit="1" customWidth="1"/>
  </cols>
  <sheetData>
    <row r="1" spans="1:6" x14ac:dyDescent="0.25">
      <c r="A1" s="11" t="s">
        <v>41</v>
      </c>
      <c r="B1" s="9"/>
      <c r="C1" s="9"/>
      <c r="D1" s="9"/>
      <c r="E1" s="9"/>
      <c r="F1" s="9"/>
    </row>
    <row r="2" spans="1:6" ht="36" customHeight="1" x14ac:dyDescent="0.25">
      <c r="A2" s="10" t="s">
        <v>42</v>
      </c>
      <c r="B2" s="9"/>
      <c r="C2" s="9"/>
      <c r="D2" s="9"/>
      <c r="E2" s="9"/>
      <c r="F2" s="9"/>
    </row>
    <row r="3" spans="1:6" ht="39.75" customHeight="1" x14ac:dyDescent="0.25">
      <c r="A3" s="10" t="s">
        <v>43</v>
      </c>
      <c r="B3" s="9"/>
      <c r="C3" s="9"/>
      <c r="D3" s="9"/>
      <c r="E3" s="9"/>
      <c r="F3" s="9"/>
    </row>
    <row r="4" spans="1:6" ht="32.25" customHeight="1" x14ac:dyDescent="0.25">
      <c r="A4" s="10" t="s">
        <v>44</v>
      </c>
      <c r="B4" s="9"/>
      <c r="C4" s="9"/>
      <c r="D4" s="9"/>
      <c r="E4" s="9"/>
      <c r="F4" s="9"/>
    </row>
    <row r="5" spans="1:6" ht="27" customHeight="1" x14ac:dyDescent="0.25">
      <c r="A5" s="10" t="s">
        <v>45</v>
      </c>
      <c r="B5" s="9"/>
      <c r="C5" s="9"/>
      <c r="D5" s="9"/>
      <c r="E5" s="9"/>
      <c r="F5" s="9"/>
    </row>
    <row r="6" spans="1:6" ht="28.5" customHeight="1" x14ac:dyDescent="0.25">
      <c r="A6" s="10" t="s">
        <v>46</v>
      </c>
      <c r="B6" s="9"/>
      <c r="C6" s="9"/>
      <c r="D6" s="9"/>
      <c r="E6" s="9"/>
      <c r="F6" s="9"/>
    </row>
    <row r="7" spans="1:6" ht="16.5" customHeight="1" x14ac:dyDescent="0.25"/>
    <row r="8" spans="1:6" ht="18" customHeight="1" x14ac:dyDescent="0.25"/>
    <row r="9" spans="1:6" ht="13.5" customHeight="1" x14ac:dyDescent="0.25"/>
    <row r="10" spans="1:6" ht="14.25" customHeight="1" x14ac:dyDescent="0.25"/>
  </sheetData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20.28515625" style="5" customWidth="1"/>
    <col min="2" max="2" width="21" style="5" customWidth="1"/>
    <col min="3" max="3" width="19.140625" style="5" customWidth="1"/>
    <col min="4" max="4" width="18.42578125" style="5" customWidth="1"/>
    <col min="5" max="5" width="16.42578125" style="5" customWidth="1"/>
    <col min="6" max="6" width="91" style="5" customWidth="1"/>
  </cols>
  <sheetData>
    <row r="1" spans="1:6" x14ac:dyDescent="0.25">
      <c r="A1" s="11" t="s">
        <v>47</v>
      </c>
      <c r="B1" s="9"/>
      <c r="C1" s="9"/>
      <c r="D1" s="9"/>
      <c r="E1" s="9"/>
      <c r="F1" s="9"/>
    </row>
    <row r="2" spans="1:6" x14ac:dyDescent="0.25">
      <c r="A2" s="12" t="s">
        <v>48</v>
      </c>
      <c r="B2" s="13"/>
      <c r="C2" s="13"/>
      <c r="D2" s="13"/>
      <c r="E2" s="13"/>
      <c r="F2" s="14"/>
    </row>
    <row r="3" spans="1:6" x14ac:dyDescent="0.25">
      <c r="A3" s="12" t="s">
        <v>49</v>
      </c>
      <c r="B3" s="13"/>
      <c r="C3" s="13"/>
      <c r="D3" s="13"/>
      <c r="E3" s="13"/>
      <c r="F3" s="14"/>
    </row>
    <row r="4" spans="1:6" ht="15" customHeight="1" x14ac:dyDescent="0.25">
      <c r="A4" s="12" t="s">
        <v>50</v>
      </c>
      <c r="B4" s="13"/>
      <c r="C4" s="13"/>
      <c r="D4" s="13"/>
      <c r="E4" s="13"/>
      <c r="F4" s="14"/>
    </row>
    <row r="5" spans="1:6" ht="15" customHeight="1" x14ac:dyDescent="0.25">
      <c r="A5" s="12" t="s">
        <v>51</v>
      </c>
      <c r="B5" s="13"/>
      <c r="C5" s="13"/>
      <c r="D5" s="13"/>
      <c r="E5" s="13"/>
      <c r="F5" s="14"/>
    </row>
    <row r="6" spans="1:6" ht="15" customHeight="1" x14ac:dyDescent="0.25">
      <c r="A6" s="12" t="s">
        <v>52</v>
      </c>
      <c r="B6" s="13"/>
      <c r="C6" s="13"/>
      <c r="D6" s="13"/>
      <c r="E6" s="13"/>
      <c r="F6" s="14"/>
    </row>
    <row r="7" spans="1:6" ht="15" customHeight="1" x14ac:dyDescent="0.25"/>
  </sheetData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Pacientes</vt:lpstr>
      <vt:lpstr>Calculos</vt:lpstr>
      <vt:lpstr>ISSUNNE_Protocolo</vt:lpstr>
      <vt:lpstr>Lookups</vt:lpstr>
      <vt:lpstr>About_ISSUNNE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cp:lastPrinted>2026-01-09T13:08:21Z</cp:lastPrinted>
  <dcterms:created xsi:type="dcterms:W3CDTF">2026-01-09T12:32:49Z</dcterms:created>
  <dcterms:modified xsi:type="dcterms:W3CDTF">2026-01-09T14:59:21Z</dcterms:modified>
</cp:coreProperties>
</file>