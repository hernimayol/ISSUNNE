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Users\Hernán\Downloads\"/>
    </mc:Choice>
  </mc:AlternateContent>
  <xr:revisionPtr revIDLastSave="0" documentId="13_ncr:1_{F8914C79-621D-43B5-A14A-AA5D34F541B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nput" sheetId="2" r:id="rId1"/>
    <sheet name="Calc" sheetId="3" r:id="rId2"/>
    <sheet name="ISSUNNE_Protocolo" sheetId="1" r:id="rId3"/>
    <sheet name="Lookups" sheetId="4" r:id="rId4"/>
    <sheet name="About_ISSUNNE" sheetId="5" r:id="rId5"/>
    <sheet name="Abou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" i="1" l="1"/>
  <c r="B3" i="3"/>
  <c r="B18" i="2" s="1"/>
  <c r="D22" i="1" s="1"/>
  <c r="B4" i="3"/>
  <c r="B19" i="2"/>
  <c r="D21" i="1" s="1"/>
  <c r="B2" i="3"/>
  <c r="B17" i="2"/>
  <c r="B22" i="1"/>
  <c r="B21" i="1"/>
  <c r="D20" i="1"/>
  <c r="B20" i="1"/>
  <c r="D19" i="1"/>
  <c r="B19" i="1"/>
  <c r="D18" i="1"/>
  <c r="B18" i="1"/>
</calcChain>
</file>

<file path=xl/sharedStrings.xml><?xml version="1.0" encoding="utf-8"?>
<sst xmlns="http://schemas.openxmlformats.org/spreadsheetml/2006/main" count="103" uniqueCount="87">
  <si>
    <t>ISSUNNE – Protocolo institucional de estimación de riesgo cardiovascular (ESC 2021)</t>
  </si>
  <si>
    <t>Propósito</t>
  </si>
  <si>
    <t>• Estandarizar la estimación del riesgo cardiovascular a 10 años en ISSUNNE/UNNE para definir intensidad de intervención preventiva.</t>
  </si>
  <si>
    <t>• Herramienta: SCORE2 (40–69 años) y SCORE2-OP (≥70 años) según ESC 2021.</t>
  </si>
  <si>
    <t>• Ámbito: prevención primaria. En prevención secundaria NO usar SCORE2 (riesgo Muy alto directo).</t>
  </si>
  <si>
    <t>Parámetros institucionales sugeridos (ISSUNNE)</t>
  </si>
  <si>
    <t>Ítem</t>
  </si>
  <si>
    <t>Valor</t>
  </si>
  <si>
    <t>Nota</t>
  </si>
  <si>
    <t>Región SCORE2 por defecto</t>
  </si>
  <si>
    <t>High</t>
  </si>
  <si>
    <t>Sugerencia operativa para Argentina si no existe recalibración local (editable por Comité).</t>
  </si>
  <si>
    <t>Población objetivo</t>
  </si>
  <si>
    <t>40–89 años, sin ECV establecida</t>
  </si>
  <si>
    <t>Si ECV establecida: Muy alto riesgo directo.</t>
  </si>
  <si>
    <t>Diabetes</t>
  </si>
  <si>
    <t>No usar como único decisor</t>
  </si>
  <si>
    <t>SCORE2 no está diseñado para población con DM; estratificar clínicamente.</t>
  </si>
  <si>
    <t>ERC avanzada</t>
  </si>
  <si>
    <t>Muy alto riesgo directo</t>
  </si>
  <si>
    <t>TFG &lt;30 ml/min/1.73m².</t>
  </si>
  <si>
    <t>Formulario (para imprimir/pegar en historia clínica)</t>
  </si>
  <si>
    <t>Campo</t>
  </si>
  <si>
    <t>Fecha</t>
  </si>
  <si>
    <t>Profesional</t>
  </si>
  <si>
    <t>Edad</t>
  </si>
  <si>
    <t>Sexo</t>
  </si>
  <si>
    <t>Tabaquismo</t>
  </si>
  <si>
    <t>PAS (mmHg)</t>
  </si>
  <si>
    <t>CT (mg/dL)</t>
  </si>
  <si>
    <t>HDL (mg/dL)</t>
  </si>
  <si>
    <t>Región (protocolo)</t>
  </si>
  <si>
    <t>Modelo</t>
  </si>
  <si>
    <t>Riesgo 10 años (%)</t>
  </si>
  <si>
    <t>Categoría</t>
  </si>
  <si>
    <t>Conducta sugerida</t>
  </si>
  <si>
    <t>Columna1</t>
  </si>
  <si>
    <t>Columna2</t>
  </si>
  <si>
    <t>Columna3</t>
  </si>
  <si>
    <t>Columna4</t>
  </si>
  <si>
    <t>Columna5</t>
  </si>
  <si>
    <t>Columna6</t>
  </si>
  <si>
    <t>ISSUNNE – SCORE2 / SCORE2-OP (ESC 2021) – Calculadora para protocolo institucional</t>
  </si>
  <si>
    <t>Entradas</t>
  </si>
  <si>
    <t>Edad (años)</t>
  </si>
  <si>
    <t>Rango: 40–89 (SCORE2: &lt;70; SCORE2-OP: ≥70)</t>
  </si>
  <si>
    <t>male</t>
  </si>
  <si>
    <t>Elegir: male / female</t>
  </si>
  <si>
    <t>Tabaquismo (Sí/No)</t>
  </si>
  <si>
    <t>No</t>
  </si>
  <si>
    <t>Se convertirá a 0/1</t>
  </si>
  <si>
    <t>Colesterol total (mg/dL)</t>
  </si>
  <si>
    <t>Opcional: o ingrese en mmol/L abajo</t>
  </si>
  <si>
    <t>Colesterol total (mmol/L)</t>
  </si>
  <si>
    <t>Si completa mmol/L, se ignoran mg/dL</t>
  </si>
  <si>
    <t>HDL (mmol/L)</t>
  </si>
  <si>
    <t>Diabetes (Sí/No)</t>
  </si>
  <si>
    <t>SCORE2 no está validado en DM; dejar No en población objetivo</t>
  </si>
  <si>
    <t>Región de riesgo (Europa)</t>
  </si>
  <si>
    <t>ISSUNNE: por defecto 'High' (Argentina) salvo definición local distinta; dejar constancia en protocolo si se modifica.</t>
  </si>
  <si>
    <t>Resultados</t>
  </si>
  <si>
    <t>Modelo usado</t>
  </si>
  <si>
    <t>Nota ISSUNNE: SCORE2 es para prevención primaria. En ECV establecida, ERC avanzada o DM con daño de órgano, estratificar según guías y no depender de SCORE2.</t>
  </si>
  <si>
    <t>Cálculos (no editar)</t>
  </si>
  <si>
    <t>Riesgo_10y_%</t>
  </si>
  <si>
    <t>Risk.region</t>
  </si>
  <si>
    <t>Sex</t>
  </si>
  <si>
    <t>Binary</t>
  </si>
  <si>
    <t>Yes/No</t>
  </si>
  <si>
    <t>Value</t>
  </si>
  <si>
    <t>Low</t>
  </si>
  <si>
    <t>Moderate</t>
  </si>
  <si>
    <t>female</t>
  </si>
  <si>
    <t>Yes</t>
  </si>
  <si>
    <t>Very high</t>
  </si>
  <si>
    <t>Notas y alcance (ISSUNNE)</t>
  </si>
  <si>
    <t>1) Esta planilla implementa SCORE2 (40–69 años) y SCORE2-OP (≥70 años) según ESC 2021 para estimar riesgo a 10 años de eventos CV mayores (fatales y no fatales).</t>
  </si>
  <si>
    <t>2) Parámetro institucional: región por defecto = 'High'. Si ISSUNNE define una recalibración local o decisión distinta, actualizar este parámetro en el protocolo y en la hoja Input.</t>
  </si>
  <si>
    <t>3) Población objetivo: prevención primaria. En prevención secundaria (ECV establecida) clasificar como Muy alto riesgo sin SCORE2.</t>
  </si>
  <si>
    <t>4) Diabetes y otras condiciones especiales: SCORE2 no debe ser el único decisor; estratificar por guías y juicio clínico.</t>
  </si>
  <si>
    <t>5) Conversión lípidos: si se cargan mmol/L, se priorizan sobre mg/dL. Conversión colesterol: mmol/L = mg/dL / 38.67.</t>
  </si>
  <si>
    <t>Notas y fuente</t>
  </si>
  <si>
    <t>Esta planilla implementa la ecuación publicada para SCORE2 (40–69 años) y SCORE2-OP (≥70 años), con recalibración por regiones de riesgo Europeas (Low, Moderate, High, Very high).</t>
  </si>
  <si>
    <t>Entradas de lípidos: puede ingresar en mg/dL o en mmol/L (si completa mmol/L se ignoran mg/dL). Conversión usada: mmol/L = mg/dL / 38.67 para colesterol.</t>
  </si>
  <si>
    <t>Advertencia: SCORE2 fue diseñado para población sin diabetes; si se usa con diabetes, el resultado puede no estar validado para esa población.</t>
  </si>
  <si>
    <t>Clasificación de riesgo en esta hoja sigue los umbrales por edad usados en implementaciones clínicas; puede adaptarse a su protocolo institucional si usan categorías distintas.</t>
  </si>
  <si>
    <t>Implementación basada en el código abierto del paquete R 'RiskScorescvd' (función SCORE2) y en los artículos SCORE2/SCORE2-OP de ESC Cardiovascular Risk Collaboration.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</si>
</sst>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1F4E79"/>
      <name val="Calibri"/>
    </font>
    <font>
      <b/>
      <sz val="11"/>
      <color rgb="FFFFFFFF"/>
      <name val="Calibri"/>
    </font>
    <font>
      <i/>
      <sz val="11"/>
      <color rgb="FF555555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9"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rgb="FFF2F2F2"/>
        </patternFill>
      </fill>
      <alignment horizontal="left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>
        <left/>
        <right/>
        <top style="thin">
          <color rgb="FFD9D9D9"/>
        </top>
        <bottom style="thin">
          <color rgb="FFD9D9D9"/>
        </bottom>
        <vertical/>
        <horizontal/>
      </border>
    </dxf>
    <dxf>
      <border>
        <left/>
        <right/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rgb="FFF2F2F2"/>
        </patternFill>
      </fill>
      <alignment horizontal="left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19" totalsRowShown="0" tableBorderDxfId="8">
  <autoFilter ref="A1:F19" xr:uid="{00000000-0009-0000-0100-000001000000}"/>
  <tableColumns count="6">
    <tableColumn id="1" xr3:uid="{00000000-0010-0000-0000-000001000000}" name="Columna1" dataDxfId="7"/>
    <tableColumn id="2" xr3:uid="{00000000-0010-0000-0000-000002000000}" name="Columna2" dataDxfId="6"/>
    <tableColumn id="3" xr3:uid="{00000000-0010-0000-0000-000003000000}" name="Columna3" dataDxfId="5"/>
    <tableColumn id="4" xr3:uid="{00000000-0010-0000-0000-000004000000}" name="Columna4" dataDxfId="4"/>
    <tableColumn id="5" xr3:uid="{00000000-0010-0000-0000-000005000000}" name="Columna5" dataDxfId="3"/>
    <tableColumn id="6" xr3:uid="{00000000-0010-0000-0000-000006000000}" name="Columna6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B4" totalsRowShown="0">
  <autoFilter ref="A1:B4" xr:uid="{00000000-0009-0000-0100-000002000000}"/>
  <tableColumns count="2">
    <tableColumn id="1" xr3:uid="{00000000-0010-0000-0100-000001000000}" name="Cálculos (no editar)" dataDxfId="1"/>
    <tableColumn id="2" xr3:uid="{00000000-0010-0000-0100-000002000000}" name="Columna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pane ySplit="3" topLeftCell="A10" activePane="bottomLeft" state="frozen"/>
      <selection pane="bottomLeft" activeCell="B17" sqref="B17"/>
    </sheetView>
  </sheetViews>
  <sheetFormatPr baseColWidth="10" defaultColWidth="9.140625" defaultRowHeight="15" x14ac:dyDescent="0.25"/>
  <cols>
    <col min="1" max="1" width="34" style="13" customWidth="1"/>
    <col min="2" max="2" width="18" style="13" customWidth="1"/>
    <col min="3" max="3" width="48" style="13" customWidth="1"/>
    <col min="4" max="6" width="12" style="13" customWidth="1"/>
  </cols>
  <sheetData>
    <row r="1" spans="1:6" ht="18.75" customHeight="1" x14ac:dyDescent="0.3">
      <c r="A1" s="12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ht="18.75" customHeight="1" x14ac:dyDescent="0.3">
      <c r="A2" s="12" t="s">
        <v>42</v>
      </c>
    </row>
    <row r="3" spans="1:6" x14ac:dyDescent="0.25">
      <c r="A3" s="15" t="s">
        <v>43</v>
      </c>
    </row>
    <row r="4" spans="1:6" x14ac:dyDescent="0.25">
      <c r="A4" s="3" t="s">
        <v>44</v>
      </c>
      <c r="B4" s="16">
        <v>55</v>
      </c>
      <c r="C4" s="3" t="s">
        <v>45</v>
      </c>
      <c r="D4" s="10"/>
      <c r="E4" s="10"/>
      <c r="F4" s="11"/>
    </row>
    <row r="5" spans="1:6" x14ac:dyDescent="0.25">
      <c r="A5" s="14" t="s">
        <v>26</v>
      </c>
      <c r="B5" s="9" t="s">
        <v>46</v>
      </c>
      <c r="C5" s="14" t="s">
        <v>47</v>
      </c>
      <c r="D5" s="10"/>
      <c r="E5" s="10"/>
      <c r="F5" s="11"/>
    </row>
    <row r="6" spans="1:6" x14ac:dyDescent="0.25">
      <c r="A6" s="14" t="s">
        <v>48</v>
      </c>
      <c r="B6" s="9" t="s">
        <v>49</v>
      </c>
      <c r="C6" s="14" t="s">
        <v>50</v>
      </c>
      <c r="D6" s="10"/>
      <c r="E6" s="10"/>
      <c r="F6" s="11"/>
    </row>
    <row r="7" spans="1:6" x14ac:dyDescent="0.25">
      <c r="A7" s="14" t="s">
        <v>28</v>
      </c>
      <c r="B7" s="9">
        <v>130</v>
      </c>
      <c r="C7" s="14"/>
      <c r="D7" s="10"/>
      <c r="E7" s="10"/>
      <c r="F7" s="11"/>
    </row>
    <row r="8" spans="1:6" x14ac:dyDescent="0.25">
      <c r="A8" s="14" t="s">
        <v>51</v>
      </c>
      <c r="B8" s="9">
        <v>200</v>
      </c>
      <c r="C8" s="14" t="s">
        <v>52</v>
      </c>
      <c r="D8" s="10"/>
      <c r="E8" s="10"/>
      <c r="F8" s="11"/>
    </row>
    <row r="9" spans="1:6" x14ac:dyDescent="0.25">
      <c r="A9" s="14" t="s">
        <v>30</v>
      </c>
      <c r="B9" s="9">
        <v>45</v>
      </c>
      <c r="C9" s="14"/>
      <c r="D9" s="10"/>
      <c r="E9" s="10"/>
      <c r="F9" s="11"/>
    </row>
    <row r="10" spans="1:6" x14ac:dyDescent="0.25">
      <c r="A10" s="14" t="s">
        <v>53</v>
      </c>
      <c r="B10" s="9"/>
      <c r="C10" s="14" t="s">
        <v>54</v>
      </c>
      <c r="D10" s="10"/>
      <c r="E10" s="10"/>
      <c r="F10" s="11"/>
    </row>
    <row r="11" spans="1:6" x14ac:dyDescent="0.25">
      <c r="A11" s="14" t="s">
        <v>55</v>
      </c>
      <c r="B11" s="9"/>
      <c r="C11" s="14"/>
      <c r="D11" s="10"/>
      <c r="E11" s="10"/>
      <c r="F11" s="11"/>
    </row>
    <row r="12" spans="1:6" ht="30" customHeight="1" x14ac:dyDescent="0.25">
      <c r="A12" s="14" t="s">
        <v>56</v>
      </c>
      <c r="B12" s="9" t="s">
        <v>49</v>
      </c>
      <c r="C12" s="14" t="s">
        <v>57</v>
      </c>
      <c r="D12" s="10"/>
      <c r="E12" s="10"/>
      <c r="F12" s="11"/>
    </row>
    <row r="13" spans="1:6" ht="45" customHeight="1" x14ac:dyDescent="0.25">
      <c r="A13" s="14" t="s">
        <v>58</v>
      </c>
      <c r="B13" s="9" t="s">
        <v>10</v>
      </c>
      <c r="C13" s="14" t="s">
        <v>59</v>
      </c>
      <c r="D13" s="10"/>
      <c r="E13" s="10"/>
      <c r="F13" s="11"/>
    </row>
    <row r="16" spans="1:6" x14ac:dyDescent="0.25">
      <c r="A16" s="15" t="s">
        <v>60</v>
      </c>
    </row>
    <row r="17" spans="1:6" x14ac:dyDescent="0.25">
      <c r="A17" s="3" t="s">
        <v>33</v>
      </c>
      <c r="B17" s="9">
        <f>Calc!B2</f>
        <v>55</v>
      </c>
      <c r="C17" s="9"/>
      <c r="D17" s="10"/>
      <c r="E17" s="10"/>
      <c r="F17" s="11"/>
    </row>
    <row r="18" spans="1:6" x14ac:dyDescent="0.25">
      <c r="A18" s="3" t="s">
        <v>34</v>
      </c>
      <c r="B18" s="9" t="str">
        <f>Calc!B3</f>
        <v>High risk</v>
      </c>
      <c r="C18" s="9"/>
      <c r="D18" s="10"/>
      <c r="E18" s="10"/>
      <c r="F18" s="11"/>
    </row>
    <row r="19" spans="1:6" x14ac:dyDescent="0.25">
      <c r="A19" s="4" t="s">
        <v>61</v>
      </c>
      <c r="B19" s="5" t="str">
        <f>Calc!B4</f>
        <v>SCORE2 (40–69)</v>
      </c>
      <c r="C19" s="5"/>
      <c r="D19" s="6"/>
      <c r="E19" s="6"/>
      <c r="F19" s="7"/>
    </row>
    <row r="21" spans="1:6" x14ac:dyDescent="0.25">
      <c r="A21" s="26" t="s">
        <v>62</v>
      </c>
      <c r="B21" s="22"/>
      <c r="C21" s="22"/>
      <c r="D21" s="22"/>
      <c r="E21" s="22"/>
      <c r="F21" s="22"/>
    </row>
  </sheetData>
  <mergeCells count="1">
    <mergeCell ref="A21:F2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pane ySplit="1" topLeftCell="A2" activePane="bottomLeft" state="frozen"/>
      <selection pane="bottomLeft" activeCell="B22" sqref="B22"/>
    </sheetView>
  </sheetViews>
  <sheetFormatPr baseColWidth="10" defaultColWidth="9.140625" defaultRowHeight="15" x14ac:dyDescent="0.25"/>
  <cols>
    <col min="1" max="2" width="24" style="13" customWidth="1"/>
    <col min="3" max="8" width="12" style="13" customWidth="1"/>
  </cols>
  <sheetData>
    <row r="1" spans="1:2" x14ac:dyDescent="0.25">
      <c r="A1" s="8" t="s">
        <v>63</v>
      </c>
      <c r="B1" t="s">
        <v>37</v>
      </c>
    </row>
    <row r="2" spans="1:2" x14ac:dyDescent="0.25">
      <c r="A2" s="3" t="s">
        <v>64</v>
      </c>
      <c r="B2" s="9">
        <f>Input!B4</f>
        <v>55</v>
      </c>
    </row>
    <row r="3" spans="1:2" x14ac:dyDescent="0.25">
      <c r="A3" s="3" t="s">
        <v>34</v>
      </c>
      <c r="B3" s="9" t="str">
        <f>IF(ISBLANK(B2),"",IF(Input!B4&lt;50,IF(B2&lt;2.5,"Low risk",IF(B2&lt;7.5,"Moderate risk","High risk")),IF(Input!B4&lt;=69,IF(B2&lt;5,"Low risk",IF(B2&lt;10,"Moderate risk","High risk")),IF(B2&lt;7.5,"Low risk",IF(B2&lt;15,"Moderate risk","High risk")))))</f>
        <v>High risk</v>
      </c>
    </row>
    <row r="4" spans="1:2" x14ac:dyDescent="0.25">
      <c r="A4" s="3" t="s">
        <v>32</v>
      </c>
      <c r="B4" s="9" t="str">
        <f>IF(Input!B4&lt;70,"SCORE2 (40–69)","SCORE2-OP (≥70)")</f>
        <v>SCORE2 (40–69)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pane ySplit="3" topLeftCell="A13" activePane="bottomLeft" state="frozen"/>
      <selection pane="bottomLeft" activeCell="B22" sqref="B22"/>
    </sheetView>
  </sheetViews>
  <sheetFormatPr baseColWidth="10" defaultColWidth="9.140625" defaultRowHeight="15" x14ac:dyDescent="0.25"/>
  <cols>
    <col min="1" max="1" width="24" style="13" customWidth="1"/>
    <col min="2" max="2" width="30" style="13" customWidth="1"/>
    <col min="3" max="3" width="24" style="13" customWidth="1"/>
    <col min="4" max="4" width="52" style="13" customWidth="1"/>
    <col min="5" max="8" width="10" style="13" customWidth="1"/>
  </cols>
  <sheetData>
    <row r="1" spans="1:8" ht="18.75" customHeight="1" x14ac:dyDescent="0.3">
      <c r="A1" s="24" t="s">
        <v>0</v>
      </c>
      <c r="B1" s="22"/>
      <c r="C1" s="22"/>
      <c r="D1" s="22"/>
      <c r="E1" s="22"/>
      <c r="F1" s="22"/>
      <c r="G1" s="22"/>
      <c r="H1" s="22"/>
    </row>
    <row r="3" spans="1:8" x14ac:dyDescent="0.25">
      <c r="A3" s="21" t="s">
        <v>1</v>
      </c>
      <c r="B3" s="22"/>
      <c r="C3" s="22"/>
      <c r="D3" s="22"/>
      <c r="E3" s="22"/>
      <c r="F3" s="22"/>
      <c r="G3" s="22"/>
      <c r="H3" s="22"/>
    </row>
    <row r="4" spans="1:8" x14ac:dyDescent="0.25">
      <c r="A4" s="25" t="s">
        <v>2</v>
      </c>
      <c r="B4" s="22"/>
      <c r="C4" s="22"/>
      <c r="D4" s="22"/>
      <c r="E4" s="22"/>
      <c r="F4" s="22"/>
      <c r="G4" s="22"/>
      <c r="H4" s="22"/>
    </row>
    <row r="5" spans="1:8" x14ac:dyDescent="0.25">
      <c r="A5" s="25" t="s">
        <v>3</v>
      </c>
      <c r="B5" s="22"/>
      <c r="C5" s="22"/>
      <c r="D5" s="22"/>
      <c r="E5" s="22"/>
      <c r="F5" s="22"/>
      <c r="G5" s="22"/>
      <c r="H5" s="22"/>
    </row>
    <row r="6" spans="1:8" x14ac:dyDescent="0.25">
      <c r="A6" s="25" t="s">
        <v>4</v>
      </c>
      <c r="B6" s="22"/>
      <c r="C6" s="22"/>
      <c r="D6" s="22"/>
      <c r="E6" s="22"/>
      <c r="F6" s="22"/>
      <c r="G6" s="22"/>
      <c r="H6" s="22"/>
    </row>
    <row r="8" spans="1:8" x14ac:dyDescent="0.25">
      <c r="A8" s="21" t="s">
        <v>5</v>
      </c>
      <c r="B8" s="22"/>
      <c r="C8" s="22"/>
      <c r="D8" s="22"/>
      <c r="E8" s="22"/>
      <c r="F8" s="22"/>
      <c r="G8" s="22"/>
      <c r="H8" s="22"/>
    </row>
    <row r="9" spans="1:8" x14ac:dyDescent="0.25">
      <c r="A9" s="2" t="s">
        <v>6</v>
      </c>
      <c r="B9" s="2" t="s">
        <v>7</v>
      </c>
      <c r="C9" s="23" t="s">
        <v>8</v>
      </c>
      <c r="D9" s="18"/>
      <c r="E9" s="18"/>
      <c r="F9" s="18"/>
      <c r="G9" s="18"/>
      <c r="H9" s="19"/>
    </row>
    <row r="10" spans="1:8" ht="30" customHeight="1" x14ac:dyDescent="0.25">
      <c r="A10" s="14" t="s">
        <v>9</v>
      </c>
      <c r="B10" s="9" t="s">
        <v>10</v>
      </c>
      <c r="C10" s="17" t="s">
        <v>11</v>
      </c>
      <c r="D10" s="18"/>
      <c r="E10" s="18"/>
      <c r="F10" s="18"/>
      <c r="G10" s="18"/>
      <c r="H10" s="19"/>
    </row>
    <row r="11" spans="1:8" x14ac:dyDescent="0.25">
      <c r="A11" s="14" t="s">
        <v>12</v>
      </c>
      <c r="B11" s="9" t="s">
        <v>13</v>
      </c>
      <c r="C11" s="17" t="s">
        <v>14</v>
      </c>
      <c r="D11" s="18"/>
      <c r="E11" s="18"/>
      <c r="F11" s="18"/>
      <c r="G11" s="18"/>
      <c r="H11" s="19"/>
    </row>
    <row r="12" spans="1:8" x14ac:dyDescent="0.25">
      <c r="A12" s="14" t="s">
        <v>15</v>
      </c>
      <c r="B12" s="9" t="s">
        <v>16</v>
      </c>
      <c r="C12" s="17" t="s">
        <v>17</v>
      </c>
      <c r="D12" s="18"/>
      <c r="E12" s="18"/>
      <c r="F12" s="18"/>
      <c r="G12" s="18"/>
      <c r="H12" s="19"/>
    </row>
    <row r="13" spans="1:8" x14ac:dyDescent="0.25">
      <c r="A13" s="14" t="s">
        <v>18</v>
      </c>
      <c r="B13" s="9" t="s">
        <v>19</v>
      </c>
      <c r="C13" s="17" t="s">
        <v>20</v>
      </c>
      <c r="D13" s="18"/>
      <c r="E13" s="18"/>
      <c r="F13" s="18"/>
      <c r="G13" s="18"/>
      <c r="H13" s="19"/>
    </row>
    <row r="15" spans="1:8" x14ac:dyDescent="0.25">
      <c r="A15" s="21" t="s">
        <v>21</v>
      </c>
      <c r="B15" s="22"/>
      <c r="C15" s="22"/>
      <c r="D15" s="22"/>
      <c r="E15" s="22"/>
      <c r="F15" s="22"/>
      <c r="G15" s="22"/>
      <c r="H15" s="22"/>
    </row>
    <row r="16" spans="1:8" x14ac:dyDescent="0.25">
      <c r="A16" s="16" t="s">
        <v>22</v>
      </c>
      <c r="B16" s="16" t="s">
        <v>7</v>
      </c>
      <c r="C16" s="16" t="s">
        <v>22</v>
      </c>
      <c r="D16" s="23" t="s">
        <v>7</v>
      </c>
      <c r="E16" s="18"/>
      <c r="F16" s="18"/>
      <c r="G16" s="18"/>
      <c r="H16" s="19"/>
    </row>
    <row r="17" spans="1:8" x14ac:dyDescent="0.25">
      <c r="A17" s="14" t="s">
        <v>23</v>
      </c>
      <c r="B17" s="9"/>
      <c r="C17" s="14" t="s">
        <v>24</v>
      </c>
      <c r="D17" s="20"/>
      <c r="E17" s="18"/>
      <c r="F17" s="18"/>
      <c r="G17" s="18"/>
      <c r="H17" s="19"/>
    </row>
    <row r="18" spans="1:8" x14ac:dyDescent="0.25">
      <c r="A18" s="14" t="s">
        <v>25</v>
      </c>
      <c r="B18" s="9">
        <f>Input!B4</f>
        <v>55</v>
      </c>
      <c r="C18" s="14" t="s">
        <v>26</v>
      </c>
      <c r="D18" s="20" t="str">
        <f>Input!B5</f>
        <v>male</v>
      </c>
      <c r="E18" s="18"/>
      <c r="F18" s="18"/>
      <c r="G18" s="18"/>
      <c r="H18" s="19"/>
    </row>
    <row r="19" spans="1:8" x14ac:dyDescent="0.25">
      <c r="A19" s="14" t="s">
        <v>27</v>
      </c>
      <c r="B19" s="9" t="str">
        <f>Input!B6</f>
        <v>No</v>
      </c>
      <c r="C19" s="14" t="s">
        <v>28</v>
      </c>
      <c r="D19" s="20">
        <f>Input!B7</f>
        <v>130</v>
      </c>
      <c r="E19" s="18"/>
      <c r="F19" s="18"/>
      <c r="G19" s="18"/>
      <c r="H19" s="19"/>
    </row>
    <row r="20" spans="1:8" x14ac:dyDescent="0.25">
      <c r="A20" s="14" t="s">
        <v>29</v>
      </c>
      <c r="B20" s="9">
        <f>Input!B8</f>
        <v>200</v>
      </c>
      <c r="C20" s="14" t="s">
        <v>30</v>
      </c>
      <c r="D20" s="20">
        <f>Input!B9</f>
        <v>45</v>
      </c>
      <c r="E20" s="18"/>
      <c r="F20" s="18"/>
      <c r="G20" s="18"/>
      <c r="H20" s="19"/>
    </row>
    <row r="21" spans="1:8" x14ac:dyDescent="0.25">
      <c r="A21" s="14" t="s">
        <v>31</v>
      </c>
      <c r="B21" s="9" t="str">
        <f>Input!B13</f>
        <v>High</v>
      </c>
      <c r="C21" s="14" t="s">
        <v>32</v>
      </c>
      <c r="D21" s="20" t="str">
        <f>Input!B19</f>
        <v>SCORE2 (40–69)</v>
      </c>
      <c r="E21" s="18"/>
      <c r="F21" s="18"/>
      <c r="G21" s="18"/>
      <c r="H21" s="19"/>
    </row>
    <row r="22" spans="1:8" x14ac:dyDescent="0.25">
      <c r="A22" s="14" t="s">
        <v>33</v>
      </c>
      <c r="B22" s="9">
        <f>Input!B17</f>
        <v>55</v>
      </c>
      <c r="C22" s="14" t="s">
        <v>34</v>
      </c>
      <c r="D22" s="20" t="str">
        <f>Input!B18</f>
        <v>High risk</v>
      </c>
      <c r="E22" s="18"/>
      <c r="F22" s="18"/>
      <c r="G22" s="18"/>
      <c r="H22" s="19"/>
    </row>
    <row r="23" spans="1:8" x14ac:dyDescent="0.25">
      <c r="A23" s="14" t="s">
        <v>35</v>
      </c>
      <c r="B23" s="14" t="str">
        <f>_xlfn.LET(_xlpm.cat,Input!B18,IF(_xlpm.cat="","",IF(_xlpm.cat="High risk","Iniciar/optimizar estatina alta intensidad; evaluar objetivos LDL y PA; seguimiento cercano.",IF(_xlpm.cat="Moderate risk","Intervención intensiva en estilo de vida; considerar estatina según edad/FR/modificadores; control 3–6 meses.","Estilo de vida; control periódico."))))</f>
        <v>Iniciar/optimizar estatina alta intensidad; evaluar objetivos LDL y PA; seguimiento cercano.</v>
      </c>
      <c r="C23" s="14"/>
      <c r="D23" s="20"/>
      <c r="E23" s="18"/>
      <c r="F23" s="18"/>
      <c r="G23" s="18"/>
      <c r="H23" s="19"/>
    </row>
  </sheetData>
  <mergeCells count="20">
    <mergeCell ref="D23:H23"/>
    <mergeCell ref="A1:H1"/>
    <mergeCell ref="C12:H12"/>
    <mergeCell ref="D22:H22"/>
    <mergeCell ref="A6:H6"/>
    <mergeCell ref="C11:H11"/>
    <mergeCell ref="D21:H21"/>
    <mergeCell ref="D17:H17"/>
    <mergeCell ref="A3:H3"/>
    <mergeCell ref="D16:H16"/>
    <mergeCell ref="C13:H13"/>
    <mergeCell ref="A5:H5"/>
    <mergeCell ref="D18:H18"/>
    <mergeCell ref="A8:H8"/>
    <mergeCell ref="A4:H4"/>
    <mergeCell ref="C10:H10"/>
    <mergeCell ref="D20:H20"/>
    <mergeCell ref="A15:H15"/>
    <mergeCell ref="C9:H9"/>
    <mergeCell ref="D19:H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E3" sqref="E3"/>
    </sheetView>
  </sheetViews>
  <sheetFormatPr baseColWidth="10" defaultColWidth="9.140625" defaultRowHeight="15" x14ac:dyDescent="0.25"/>
  <cols>
    <col min="1" max="1" width="14" style="13" customWidth="1"/>
    <col min="2" max="2" width="10" style="13" customWidth="1"/>
    <col min="4" max="4" width="10" style="13" customWidth="1"/>
    <col min="5" max="5" width="8" style="13" customWidth="1"/>
  </cols>
  <sheetData>
    <row r="1" spans="1:5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25">
      <c r="A2" t="s">
        <v>70</v>
      </c>
      <c r="B2" t="s">
        <v>46</v>
      </c>
      <c r="D2" t="s">
        <v>49</v>
      </c>
      <c r="E2">
        <v>0</v>
      </c>
    </row>
    <row r="3" spans="1:5" x14ac:dyDescent="0.25">
      <c r="A3" t="s">
        <v>71</v>
      </c>
      <c r="B3" t="s">
        <v>72</v>
      </c>
      <c r="D3" t="s">
        <v>73</v>
      </c>
      <c r="E3">
        <v>1</v>
      </c>
    </row>
    <row r="4" spans="1:5" x14ac:dyDescent="0.25">
      <c r="A4" t="s">
        <v>10</v>
      </c>
    </row>
    <row r="5" spans="1:5" x14ac:dyDescent="0.25">
      <c r="A5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B21" sqref="B21"/>
    </sheetView>
  </sheetViews>
  <sheetFormatPr baseColWidth="10" defaultColWidth="9.140625" defaultRowHeight="15" x14ac:dyDescent="0.25"/>
  <cols>
    <col min="1" max="1" width="30" style="13" customWidth="1"/>
    <col min="2" max="6" width="22" style="13" customWidth="1"/>
  </cols>
  <sheetData>
    <row r="1" spans="1:6" x14ac:dyDescent="0.25">
      <c r="A1" s="21" t="s">
        <v>75</v>
      </c>
      <c r="B1" s="22"/>
      <c r="C1" s="22"/>
      <c r="D1" s="22"/>
      <c r="E1" s="22"/>
      <c r="F1" s="22"/>
    </row>
    <row r="3" spans="1:6" x14ac:dyDescent="0.25">
      <c r="A3" s="25" t="s">
        <v>76</v>
      </c>
      <c r="B3" s="22"/>
      <c r="C3" s="22"/>
      <c r="D3" s="22"/>
      <c r="E3" s="22"/>
      <c r="F3" s="22"/>
    </row>
    <row r="4" spans="1:6" x14ac:dyDescent="0.25">
      <c r="A4" s="25" t="s">
        <v>77</v>
      </c>
      <c r="B4" s="22"/>
      <c r="C4" s="22"/>
      <c r="D4" s="22"/>
      <c r="E4" s="22"/>
      <c r="F4" s="22"/>
    </row>
    <row r="5" spans="1:6" x14ac:dyDescent="0.25">
      <c r="A5" s="25" t="s">
        <v>78</v>
      </c>
      <c r="B5" s="22"/>
      <c r="C5" s="22"/>
      <c r="D5" s="22"/>
      <c r="E5" s="22"/>
      <c r="F5" s="22"/>
    </row>
    <row r="6" spans="1:6" x14ac:dyDescent="0.25">
      <c r="A6" s="25" t="s">
        <v>79</v>
      </c>
      <c r="B6" s="22"/>
      <c r="C6" s="22"/>
      <c r="D6" s="22"/>
      <c r="E6" s="22"/>
      <c r="F6" s="22"/>
    </row>
    <row r="7" spans="1:6" x14ac:dyDescent="0.25">
      <c r="A7" s="25" t="s">
        <v>80</v>
      </c>
      <c r="B7" s="22"/>
      <c r="C7" s="22"/>
      <c r="D7" s="22"/>
      <c r="E7" s="22"/>
      <c r="F7" s="22"/>
    </row>
  </sheetData>
  <mergeCells count="6">
    <mergeCell ref="A7:F7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sqref="A1:F1"/>
    </sheetView>
  </sheetViews>
  <sheetFormatPr baseColWidth="10" defaultColWidth="9.140625" defaultRowHeight="15" x14ac:dyDescent="0.25"/>
  <cols>
    <col min="1" max="1" width="32" style="13" customWidth="1"/>
    <col min="2" max="6" width="14" style="13" customWidth="1"/>
  </cols>
  <sheetData>
    <row r="1" spans="1:6" x14ac:dyDescent="0.25">
      <c r="A1" s="21" t="s">
        <v>81</v>
      </c>
      <c r="B1" s="22"/>
      <c r="C1" s="22"/>
      <c r="D1" s="22"/>
      <c r="E1" s="22"/>
      <c r="F1" s="22"/>
    </row>
    <row r="3" spans="1:6" x14ac:dyDescent="0.25">
      <c r="A3" s="17" t="s">
        <v>82</v>
      </c>
      <c r="B3" s="18"/>
      <c r="C3" s="18"/>
      <c r="D3" s="18"/>
      <c r="E3" s="18"/>
      <c r="F3" s="19"/>
    </row>
    <row r="4" spans="1:6" x14ac:dyDescent="0.25">
      <c r="A4" s="17" t="s">
        <v>83</v>
      </c>
      <c r="B4" s="18"/>
      <c r="C4" s="18"/>
      <c r="D4" s="18"/>
      <c r="E4" s="18"/>
      <c r="F4" s="19"/>
    </row>
    <row r="5" spans="1:6" x14ac:dyDescent="0.25">
      <c r="A5" s="17" t="s">
        <v>84</v>
      </c>
      <c r="B5" s="18"/>
      <c r="C5" s="18"/>
      <c r="D5" s="18"/>
      <c r="E5" s="18"/>
      <c r="F5" s="19"/>
    </row>
    <row r="6" spans="1:6" x14ac:dyDescent="0.25">
      <c r="A6" s="17" t="s">
        <v>85</v>
      </c>
      <c r="B6" s="18"/>
      <c r="C6" s="18"/>
      <c r="D6" s="18"/>
      <c r="E6" s="18"/>
      <c r="F6" s="19"/>
    </row>
    <row r="7" spans="1:6" x14ac:dyDescent="0.25">
      <c r="A7" s="17" t="s">
        <v>86</v>
      </c>
      <c r="B7" s="18"/>
      <c r="C7" s="18"/>
      <c r="D7" s="18"/>
      <c r="E7" s="18"/>
      <c r="F7" s="19"/>
    </row>
  </sheetData>
  <mergeCells count="6">
    <mergeCell ref="A7:F7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Input</vt:lpstr>
      <vt:lpstr>Calc</vt:lpstr>
      <vt:lpstr>ISSUNNE_Protocolo</vt:lpstr>
      <vt:lpstr>Lookups</vt:lpstr>
      <vt:lpstr>About_ISSUNNE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</cp:lastModifiedBy>
  <dcterms:created xsi:type="dcterms:W3CDTF">2026-01-08T11:37:19Z</dcterms:created>
  <dcterms:modified xsi:type="dcterms:W3CDTF">2026-01-08T14:07:52Z</dcterms:modified>
</cp:coreProperties>
</file>