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esktop\Administracion HernanMayol\Python_ISSUNNE\Excel\CIRCUITO ISSUNNE\"/>
    </mc:Choice>
  </mc:AlternateContent>
  <xr:revisionPtr revIDLastSave="0" documentId="13_ncr:1_{3FFB6F35-0B89-48A9-86B6-12C82687364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eguimiento UPC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M4" i="1"/>
  <c r="K5" i="1"/>
  <c r="M5" i="1"/>
  <c r="M2" i="1"/>
  <c r="K2" i="1"/>
  <c r="K3" i="1"/>
  <c r="K4" i="1"/>
</calcChain>
</file>

<file path=xl/sharedStrings.xml><?xml version="1.0" encoding="utf-8"?>
<sst xmlns="http://schemas.openxmlformats.org/spreadsheetml/2006/main" count="26" uniqueCount="20">
  <si>
    <t>Afiliado</t>
  </si>
  <si>
    <t>DNI</t>
  </si>
  <si>
    <t>Estudio solicitado</t>
  </si>
  <si>
    <t>Fecha solicitud</t>
  </si>
  <si>
    <t>Prestador</t>
  </si>
  <si>
    <t>Fecha turno</t>
  </si>
  <si>
    <t>Fecha realización</t>
  </si>
  <si>
    <t>Resultado recibido (Sí/No)</t>
  </si>
  <si>
    <t>Fecha revisión médica</t>
  </si>
  <si>
    <t>Observaciones</t>
  </si>
  <si>
    <t>Dias de Demora</t>
  </si>
  <si>
    <t>Estado Automático</t>
  </si>
  <si>
    <t>Gonzales Martin</t>
  </si>
  <si>
    <t>Revisión</t>
  </si>
  <si>
    <t>No</t>
  </si>
  <si>
    <t>Si</t>
  </si>
  <si>
    <t>Turno Cancelado (Si/No)</t>
  </si>
  <si>
    <t>Ejemplo</t>
  </si>
  <si>
    <t>Paciente canceló turno</t>
  </si>
  <si>
    <t xml:space="preserve">Revisión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</si>
</sst>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14" fontId="0" fillId="0" borderId="0" xfId="0" applyNumberFormat="1"/>
    <xf numFmtId="1" fontId="0" fillId="0" borderId="0" xfId="0" applyNumberFormat="1"/>
    <xf numFmtId="14" fontId="0" fillId="0" borderId="1" xfId="0" applyNumberFormat="1" applyFont="1" applyBorder="1"/>
    <xf numFmtId="1" fontId="0" fillId="0" borderId="1" xfId="0" applyNumberFormat="1" applyFont="1" applyBorder="1"/>
    <xf numFmtId="14" fontId="0" fillId="0" borderId="3" xfId="0" applyNumberFormat="1" applyFont="1" applyBorder="1"/>
    <xf numFmtId="1" fontId="0" fillId="0" borderId="3" xfId="0" applyNumberFormat="1" applyFont="1" applyBorder="1"/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center"/>
    </xf>
    <xf numFmtId="0" fontId="0" fillId="0" borderId="2" xfId="0" applyFont="1" applyBorder="1" applyAlignment="1">
      <alignment horizontal="right"/>
    </xf>
    <xf numFmtId="0" fontId="0" fillId="0" borderId="3" xfId="0" applyNumberFormat="1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14" fontId="0" fillId="0" borderId="0" xfId="0" applyNumberFormat="1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 style="thin">
          <color theme="4"/>
        </bottom>
        <vertical/>
        <horizontal/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A5397-3B0C-43C9-85BE-3CBA3FCDD768}" name="Tabla1" displayName="Tabla1" ref="A1:M5" totalsRowShown="0" tableBorderDxfId="13">
  <autoFilter ref="A1:M5" xr:uid="{327A5397-3B0C-43C9-85BE-3CBA3FCDD768}"/>
  <tableColumns count="13">
    <tableColumn id="1" xr3:uid="{48377B2A-C8AB-4075-A29A-A504CD024988}" name="Afiliado" dataDxfId="12"/>
    <tableColumn id="2" xr3:uid="{FD0798EF-A11B-4C36-990B-871354CA5378}" name="DNI" dataDxfId="11"/>
    <tableColumn id="3" xr3:uid="{FB341455-6534-4F40-A9B7-3851902BD371}" name="Estudio solicitado" dataDxfId="10"/>
    <tableColumn id="4" xr3:uid="{2717F401-A0B9-4F33-8834-D45B603910EB}" name="Fecha solicitud" dataDxfId="9"/>
    <tableColumn id="5" xr3:uid="{C94858FC-A376-4E19-928A-D36644707017}" name="Prestador" dataDxfId="8"/>
    <tableColumn id="6" xr3:uid="{8A8AFA2B-D933-42D6-8F99-0EFE468F7729}" name="Fecha turno" dataDxfId="7"/>
    <tableColumn id="7" xr3:uid="{7A644322-0847-4DF6-B2AA-BD3645BC40AA}" name="Fecha realización" dataDxfId="6"/>
    <tableColumn id="8" xr3:uid="{404BB9DD-D07B-41FE-8D4B-8E476016E48E}" name="Resultado recibido (Sí/No)" dataDxfId="5"/>
    <tableColumn id="9" xr3:uid="{8442E3CF-AA1A-423D-B00C-803F2F06C10B}" name="Fecha revisión médica" dataDxfId="4"/>
    <tableColumn id="10" xr3:uid="{7597CA2D-54FC-4C2E-A1ED-24794DC93DAD}" name="Observaciones" dataDxfId="3"/>
    <tableColumn id="11" xr3:uid="{BCC16971-5E1F-4801-81A8-354BB846221B}" name="Dias de Demora" dataDxfId="2">
      <calculatedColumnFormula>IF(D2="", 0, IF(G2&lt;&gt;"", G2-D2, TODAY()-D2))</calculatedColumnFormula>
    </tableColumn>
    <tableColumn id="12" xr3:uid="{A33CE862-3007-4162-B741-7D960E0BD2E7}" name="Turno Cancelado (Si/No)" dataDxfId="1"/>
    <tableColumn id="13" xr3:uid="{5EBBC946-E3FF-45DD-91A2-8063369DD8CD}" name="Estado Automático" dataDxfId="0">
      <calculatedColumnFormula>IF(L2="Si","⚫ Turno Cancelado",
   IF(G2&lt;&gt;"","🟢 Realizado",
      IF(TODAY()-D2&gt;10,"🔴 Pendiente",
         "🟠 Pendiente"
      )
   )
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M5" sqref="A1:M5"/>
    </sheetView>
  </sheetViews>
  <sheetFormatPr baseColWidth="10" defaultColWidth="9.140625" defaultRowHeight="15" x14ac:dyDescent="0.25"/>
  <cols>
    <col min="1" max="3" width="22" style="14" customWidth="1"/>
    <col min="4" max="4" width="22" style="3" customWidth="1"/>
    <col min="5" max="5" width="29.42578125" customWidth="1"/>
    <col min="6" max="6" width="22" customWidth="1"/>
    <col min="7" max="7" width="22" style="3" customWidth="1"/>
    <col min="8" max="8" width="26.5703125" style="14" customWidth="1"/>
    <col min="9" max="9" width="22.7109375" style="3" customWidth="1"/>
    <col min="10" max="10" width="52.7109375" style="11" customWidth="1"/>
    <col min="11" max="11" width="21.140625" style="4" bestFit="1" customWidth="1"/>
    <col min="12" max="12" width="24.7109375" style="14" customWidth="1"/>
    <col min="13" max="13" width="47.28515625" style="15" customWidth="1"/>
  </cols>
  <sheetData>
    <row r="1" spans="1:13" x14ac:dyDescent="0.25">
      <c r="A1" s="18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9" t="s">
        <v>8</v>
      </c>
      <c r="J1" s="18" t="s">
        <v>9</v>
      </c>
      <c r="K1" s="20" t="s">
        <v>10</v>
      </c>
      <c r="L1" s="21" t="s">
        <v>16</v>
      </c>
      <c r="M1" s="22" t="s">
        <v>11</v>
      </c>
    </row>
    <row r="2" spans="1:13" x14ac:dyDescent="0.25">
      <c r="A2" s="12" t="s">
        <v>12</v>
      </c>
      <c r="B2" s="12">
        <v>32456789</v>
      </c>
      <c r="C2" s="12" t="s">
        <v>19</v>
      </c>
      <c r="D2" s="5">
        <v>46032</v>
      </c>
      <c r="E2" s="1"/>
      <c r="F2" s="5">
        <v>46034</v>
      </c>
      <c r="G2" s="5">
        <v>46034</v>
      </c>
      <c r="H2" s="12" t="s">
        <v>15</v>
      </c>
      <c r="I2" s="5">
        <v>46035</v>
      </c>
      <c r="J2" s="9"/>
      <c r="K2" s="6">
        <f t="shared" ref="K2:K4" ca="1" si="0">IF(D2="", 0, IF(G2&lt;&gt;"", G2-D2, TODAY()-D2))</f>
        <v>2</v>
      </c>
      <c r="L2" s="14" t="s">
        <v>14</v>
      </c>
      <c r="M2" s="17" t="str">
        <f ca="1">IF(L2="Si","⚫ Turno Cancelado",
   IF(G2&lt;&gt;"","🟢 Realizado",
      IF(TODAY()-D2&gt;10,"🔴 Pendiente",
         "🟠 Pendiente"
      )
   )
)</f>
        <v>🟢 Realizado</v>
      </c>
    </row>
    <row r="3" spans="1:13" x14ac:dyDescent="0.25">
      <c r="A3" s="12"/>
      <c r="B3" s="12"/>
      <c r="C3" s="12"/>
      <c r="D3" s="5">
        <v>46133</v>
      </c>
      <c r="E3" s="1"/>
      <c r="F3" s="5">
        <v>46133</v>
      </c>
      <c r="G3" s="5"/>
      <c r="H3" s="12" t="s">
        <v>14</v>
      </c>
      <c r="I3" s="5">
        <v>46134</v>
      </c>
      <c r="J3" s="9"/>
      <c r="K3" s="6">
        <f t="shared" ca="1" si="0"/>
        <v>1</v>
      </c>
      <c r="L3" s="14" t="s">
        <v>14</v>
      </c>
      <c r="M3" s="17" t="str">
        <f ca="1">IF(L3="Si","⚫ Turno Cancelado",
   IF(G3&lt;&gt;"","🟢 Realizado",
      IF(TODAY()-D3&gt;10,"🔴 Pendiente",
         "🟠 Pendiente"
      )
   )
)</f>
        <v>🟠 Pendiente</v>
      </c>
    </row>
    <row r="4" spans="1:13" x14ac:dyDescent="0.25">
      <c r="A4" s="13"/>
      <c r="B4" s="13"/>
      <c r="C4" s="13"/>
      <c r="D4" s="7">
        <v>46117</v>
      </c>
      <c r="E4" s="2"/>
      <c r="F4" s="7">
        <v>46118</v>
      </c>
      <c r="G4" s="7"/>
      <c r="H4" s="13" t="s">
        <v>15</v>
      </c>
      <c r="I4" s="7"/>
      <c r="J4" s="10"/>
      <c r="K4" s="8">
        <f t="shared" ca="1" si="0"/>
        <v>17</v>
      </c>
      <c r="L4" s="14" t="s">
        <v>14</v>
      </c>
      <c r="M4" s="17" t="str">
        <f ca="1">IF(L4="Si","⚫ Turno Cancelado",
   IF(G4&lt;&gt;"","🟢 Realizado",
      IF(TODAY()-D4&gt;10,"🔴 Pendiente",
         "🟠 Pendiente"
      )
   )
)</f>
        <v>🔴 Pendiente</v>
      </c>
    </row>
    <row r="5" spans="1:13" x14ac:dyDescent="0.25">
      <c r="A5" s="12"/>
      <c r="B5" s="12" t="s">
        <v>17</v>
      </c>
      <c r="C5" s="12" t="s">
        <v>13</v>
      </c>
      <c r="D5" s="5">
        <v>46039</v>
      </c>
      <c r="E5" s="1"/>
      <c r="F5" s="5">
        <v>46042</v>
      </c>
      <c r="G5" s="5">
        <v>46042</v>
      </c>
      <c r="H5" s="12" t="s">
        <v>14</v>
      </c>
      <c r="I5" s="23">
        <v>46042</v>
      </c>
      <c r="J5" s="9" t="s">
        <v>18</v>
      </c>
      <c r="K5" s="6">
        <f ca="1">IF(D5="", 0, IF(G5&lt;&gt;"", G5-D5, TODAY()-D5))</f>
        <v>3</v>
      </c>
      <c r="L5" s="14" t="s">
        <v>15</v>
      </c>
      <c r="M5" s="17" t="str">
        <f ca="1">IF(L5="Si","⚫ Turno Cancelado",
   IF(G5&lt;&gt;"","🟢 Realizado",
      IF(TODAY()-D5&gt;10,"🔴 Pendiente",
         "🟠 Pendiente"
      )
   )
)</f>
        <v>⚫ Turno Cancelado</v>
      </c>
    </row>
    <row r="6" spans="1:13" x14ac:dyDescent="0.25">
      <c r="A6" s="16"/>
    </row>
  </sheetData>
  <conditionalFormatting sqref="L1 M1:M1048576">
    <cfRule type="containsText" dxfId="16" priority="1" operator="containsText" text="🟠">
      <formula>NOT(ISERROR(SEARCH("🟠",L1)))</formula>
    </cfRule>
    <cfRule type="containsText" dxfId="15" priority="2" operator="containsText" text="🔴">
      <formula>NOT(ISERROR(SEARCH("🔴",L1)))</formula>
    </cfRule>
    <cfRule type="containsText" dxfId="14" priority="3" operator="containsText" text="🟢">
      <formula>NOT(ISERROR(SEARCH("🟢",L1)))</formula>
    </cfRule>
  </conditionalFormatting>
  <dataValidations count="1">
    <dataValidation type="list" allowBlank="1" showInputMessage="1" showErrorMessage="1" sqref="L2:L1048576 H2:H1048576" xr:uid="{A25EE01D-F003-4F95-8E37-E6B02AB85919}">
      <formula1>"Si,No"</formula1>
    </dataValidation>
  </dataValidations>
  <pageMargins left="0.75" right="0.75" top="1" bottom="1" header="0.5" footer="0.5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UPCM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cp:lastPrinted>2026-04-22T21:56:41Z</cp:lastPrinted>
  <dcterms:created xsi:type="dcterms:W3CDTF">2026-01-15T11:46:21Z</dcterms:created>
  <dcterms:modified xsi:type="dcterms:W3CDTF">2026-04-22T21:56:48Z</dcterms:modified>
</cp:coreProperties>
</file>