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Users\Hernán\Desktop\Administracion HernanMayol\Python_ISSUNNE\Excel\"/>
    </mc:Choice>
  </mc:AlternateContent>
  <xr:revisionPtr revIDLastSave="0" documentId="13_ncr:1_{D6A88C3D-AB13-4093-996B-0DF91CC1257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Registro_Triage" sheetId="1" r:id="rId1"/>
    <sheet name="Calculos" sheetId="2" r:id="rId2"/>
    <sheet name="Referenci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2" i="2" l="1"/>
  <c r="B3" i="2"/>
  <c r="B4" i="2"/>
  <c r="B5" i="2"/>
  <c r="B6" i="2"/>
  <c r="B7" i="2"/>
  <c r="B8" i="2"/>
  <c r="B9" i="2"/>
  <c r="B10" i="2"/>
  <c r="B11" i="2"/>
  <c r="A12" i="2"/>
  <c r="D12" i="2"/>
  <c r="E12" i="2" s="1"/>
  <c r="F12" i="2"/>
  <c r="G12" i="2"/>
  <c r="I12" i="2"/>
  <c r="L12" i="2"/>
  <c r="C12" i="2"/>
  <c r="G12" i="1"/>
  <c r="G2" i="2"/>
  <c r="G3" i="2"/>
  <c r="G4" i="2"/>
  <c r="G5" i="2"/>
  <c r="G6" i="2"/>
  <c r="G7" i="2"/>
  <c r="G8" i="2"/>
  <c r="G9" i="2"/>
  <c r="G10" i="2"/>
  <c r="G11" i="2"/>
  <c r="F2" i="2"/>
  <c r="F3" i="2"/>
  <c r="F4" i="2"/>
  <c r="F5" i="2"/>
  <c r="F6" i="2"/>
  <c r="F7" i="2"/>
  <c r="F8" i="2"/>
  <c r="F9" i="2"/>
  <c r="F10" i="2"/>
  <c r="F11" i="2"/>
  <c r="G2" i="1"/>
  <c r="G3" i="1"/>
  <c r="G4" i="1"/>
  <c r="G5" i="1"/>
  <c r="G6" i="1"/>
  <c r="G7" i="1"/>
  <c r="G8" i="1"/>
  <c r="G9" i="1"/>
  <c r="G10" i="1"/>
  <c r="G11" i="1"/>
  <c r="C2" i="2"/>
  <c r="C3" i="2"/>
  <c r="C4" i="2"/>
  <c r="C5" i="2"/>
  <c r="C6" i="2"/>
  <c r="C7" i="2"/>
  <c r="C8" i="2"/>
  <c r="C9" i="2"/>
  <c r="C10" i="2"/>
  <c r="C11" i="2"/>
  <c r="L2" i="2"/>
  <c r="L3" i="2"/>
  <c r="L4" i="2"/>
  <c r="L5" i="2"/>
  <c r="L6" i="2"/>
  <c r="L7" i="2"/>
  <c r="L8" i="2"/>
  <c r="L9" i="2"/>
  <c r="L10" i="2"/>
  <c r="L11" i="2"/>
  <c r="D3" i="2"/>
  <c r="K3" i="2" s="1"/>
  <c r="D4" i="2"/>
  <c r="K4" i="2" s="1"/>
  <c r="D5" i="2"/>
  <c r="K5" i="2" s="1"/>
  <c r="D6" i="2"/>
  <c r="K6" i="2" s="1"/>
  <c r="D7" i="2"/>
  <c r="E7" i="2" s="1"/>
  <c r="D8" i="2"/>
  <c r="K8" i="2" s="1"/>
  <c r="D9" i="2"/>
  <c r="E9" i="2" s="1"/>
  <c r="D10" i="2"/>
  <c r="E10" i="2" s="1"/>
  <c r="D11" i="2"/>
  <c r="I2" i="2"/>
  <c r="E11" i="2"/>
  <c r="D2" i="2"/>
  <c r="E2" i="2" s="1"/>
  <c r="I11" i="2"/>
  <c r="A11" i="2"/>
  <c r="I10" i="2"/>
  <c r="A10" i="2"/>
  <c r="I3" i="2"/>
  <c r="I4" i="2"/>
  <c r="I5" i="2"/>
  <c r="I6" i="2"/>
  <c r="I7" i="2"/>
  <c r="I8" i="2"/>
  <c r="I9" i="2"/>
  <c r="A9" i="2"/>
  <c r="A8" i="2"/>
  <c r="A7" i="2"/>
  <c r="A3" i="2"/>
  <c r="A4" i="2"/>
  <c r="A5" i="2"/>
  <c r="A6" i="2"/>
  <c r="B2" i="2"/>
  <c r="J12" i="2" l="1"/>
  <c r="H12" i="2" s="1"/>
  <c r="K12" i="2"/>
  <c r="J11" i="2"/>
  <c r="J7" i="2"/>
  <c r="K11" i="2"/>
  <c r="J10" i="2"/>
  <c r="J9" i="2"/>
  <c r="J5" i="2"/>
  <c r="H5" i="2" s="1"/>
  <c r="J4" i="2"/>
  <c r="H4" i="2" s="1"/>
  <c r="K10" i="2"/>
  <c r="K9" i="2"/>
  <c r="J3" i="2"/>
  <c r="H3" i="2" s="1"/>
  <c r="J6" i="2"/>
  <c r="H6" i="2" s="1"/>
  <c r="J8" i="2"/>
  <c r="H8" i="2" s="1"/>
  <c r="E8" i="2"/>
  <c r="K7" i="2"/>
  <c r="K2" i="2"/>
  <c r="J2" i="2"/>
  <c r="E6" i="2"/>
  <c r="A2" i="2"/>
  <c r="H7" i="2" l="1"/>
  <c r="H11" i="2"/>
  <c r="H10" i="2"/>
  <c r="H9" i="2"/>
  <c r="H2" i="2"/>
  <c r="E5" i="2"/>
  <c r="E4" i="2"/>
  <c r="E3" i="2"/>
</calcChain>
</file>

<file path=xl/sharedStrings.xml><?xml version="1.0" encoding="utf-8"?>
<sst xmlns="http://schemas.openxmlformats.org/spreadsheetml/2006/main" count="67" uniqueCount="52">
  <si>
    <t>Fecha</t>
  </si>
  <si>
    <t>Hora</t>
  </si>
  <si>
    <t>ID Paciente</t>
  </si>
  <si>
    <t>Nombre y Apellido</t>
  </si>
  <si>
    <t>Peso (kg)</t>
  </si>
  <si>
    <t>Talla (m)</t>
  </si>
  <si>
    <t>Presión Sistólica 1</t>
  </si>
  <si>
    <t>Presión Diastólica 1</t>
  </si>
  <si>
    <t>Presión Sistólica 2</t>
  </si>
  <si>
    <t>Presión Diastólica 2</t>
  </si>
  <si>
    <t>Glucemia (mg/dl)</t>
  </si>
  <si>
    <t>Saturación O2 (%)</t>
  </si>
  <si>
    <t>IMC</t>
  </si>
  <si>
    <t>Clasificación IMC</t>
  </si>
  <si>
    <t>Presión Sistólica Promedio</t>
  </si>
  <si>
    <t>Presión Diastólica Promedio</t>
  </si>
  <si>
    <t>Parámetro</t>
  </si>
  <si>
    <t>Valor mínimo</t>
  </si>
  <si>
    <t>Valor máximo</t>
  </si>
  <si>
    <t>IMC Normal</t>
  </si>
  <si>
    <t>Presión Sistólica Normal</t>
  </si>
  <si>
    <t>Presión Diastólica Normal</t>
  </si>
  <si>
    <t>Frecuencia Cardíaca Normal</t>
  </si>
  <si>
    <t>Saturación O2 Normal</t>
  </si>
  <si>
    <t>Glucemia Ayunas</t>
  </si>
  <si>
    <t>Frecuencia Cardíaca</t>
  </si>
  <si>
    <t>Hernan Mayol</t>
  </si>
  <si>
    <t>Juan Garcia</t>
  </si>
  <si>
    <t>Pablo Romero</t>
  </si>
  <si>
    <t>Nahir Leguiza</t>
  </si>
  <si>
    <t>Ejemplo Apellido</t>
  </si>
  <si>
    <t>Observaciones/Comentarios</t>
  </si>
  <si>
    <t>No ayunó</t>
  </si>
  <si>
    <t>Se repite medición</t>
  </si>
  <si>
    <t>Paciente nervioso</t>
  </si>
  <si>
    <t>Riesgo Inicial</t>
  </si>
  <si>
    <t>ALERTA_O2</t>
  </si>
  <si>
    <t>ALERTA_Presion</t>
  </si>
  <si>
    <t>ALERTA_IMC</t>
  </si>
  <si>
    <t>Juan Perez</t>
  </si>
  <si>
    <t>Maria Gomez</t>
  </si>
  <si>
    <t>Carlos Lopez</t>
  </si>
  <si>
    <t>Pablo Ledezma</t>
  </si>
  <si>
    <t>Alta temperatura</t>
  </si>
  <si>
    <t>Paciente Bajo Riesgo</t>
  </si>
  <si>
    <t>Sexo</t>
  </si>
  <si>
    <t>M</t>
  </si>
  <si>
    <t>F</t>
  </si>
  <si>
    <t>ALERTA_Cintura</t>
  </si>
  <si>
    <t>Perímetro Cintura (m)</t>
  </si>
  <si>
    <t>Paciente Ejemplo</t>
  </si>
  <si>
    <t>Falta de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</si>
</sst>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dd/mm/yyyy;@"/>
    <numFmt numFmtId="166" formatCode="0.0"/>
  </numFmts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66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2" fontId="0" fillId="0" borderId="0" xfId="0" applyNumberFormat="1"/>
    <xf numFmtId="2" fontId="0" fillId="0" borderId="0" xfId="0" applyNumberFormat="1" applyFont="1"/>
    <xf numFmtId="0" fontId="0" fillId="0" borderId="0" xfId="0" applyNumberFormat="1" applyAlignment="1">
      <alignment horizontal="right"/>
    </xf>
    <xf numFmtId="1" fontId="0" fillId="0" borderId="0" xfId="0" applyNumberFormat="1"/>
    <xf numFmtId="166" fontId="0" fillId="4" borderId="0" xfId="0" applyNumberFormat="1" applyFill="1"/>
    <xf numFmtId="166" fontId="0" fillId="3" borderId="0" xfId="0" applyNumberFormat="1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alignment horizontal="right" vertical="bottom" textRotation="0" wrapText="0" indent="0" justifyLastLine="0" shrinkToFit="0" readingOrder="0"/>
    </dxf>
    <dxf>
      <numFmt numFmtId="166" formatCode="0.0"/>
    </dxf>
    <dxf>
      <numFmt numFmtId="19" formatCode="d/m/yyyy"/>
    </dxf>
    <dxf>
      <numFmt numFmtId="19" formatCode="d/m/yyyy"/>
    </dxf>
    <dxf>
      <numFmt numFmtId="0" formatCode="General"/>
    </dxf>
    <dxf>
      <alignment horizontal="left" vertical="bottom" textRotation="0" wrapText="0" justifyLastLine="0" shrinkToFit="0" readingOrder="0"/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</font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alignment horizontal="right" vertical="bottom" textRotation="0" wrapText="0" indent="0" justifyLastLine="0" shrinkToFit="0" readingOrder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  <alignment horizontal="right" vertical="bottom" textRotation="0" wrapText="0" indent="0" justifyLastLine="0" shrinkToFit="0" readingOrder="0"/>
    </dxf>
    <dxf>
      <numFmt numFmtId="166" formatCode="0.0"/>
    </dxf>
    <dxf>
      <numFmt numFmtId="2" formatCode="0.00"/>
    </dxf>
    <dxf>
      <alignment horizontal="right" vertical="bottom" textRotation="0" wrapText="0" indent="0" justifyLastLine="0" shrinkToFit="0" readingOrder="0"/>
    </dxf>
    <dxf>
      <numFmt numFmtId="164" formatCode="[$-F400]h:mm:ss\ AM/PM"/>
    </dxf>
    <dxf>
      <numFmt numFmtId="165" formatCode="dd/mm/yyyy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3</xdr:col>
      <xdr:colOff>19050</xdr:colOff>
      <xdr:row>16</xdr:row>
      <xdr:rowOff>152400</xdr:rowOff>
    </xdr:to>
    <xdr:pic>
      <xdr:nvPicPr>
        <xdr:cNvPr id="2" name="dimg_uVdeabSFINqG5OUP89jZ2A0_11" descr="▷ Perímetro abdominal y riesgo de muerte【Artículo 2021】">
          <a:extLst>
            <a:ext uri="{FF2B5EF4-FFF2-40B4-BE49-F238E27FC236}">
              <a16:creationId xmlns:a16="http://schemas.microsoft.com/office/drawing/2014/main" id="{D60AFA9B-F295-C4EF-F89D-0B8A27824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3467100" cy="148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Triage" displayName="Tabla_Triage" ref="A1:Q12">
  <autoFilter ref="A1:Q12" xr:uid="{00000000-0009-0000-0100-000001000000}"/>
  <sortState xmlns:xlrd2="http://schemas.microsoft.com/office/spreadsheetml/2017/richdata2" ref="A2:P4">
    <sortCondition ref="A1:A4"/>
  </sortState>
  <tableColumns count="17">
    <tableColumn id="1" xr3:uid="{00000000-0010-0000-0000-000001000000}" name="Fecha" dataDxfId="35"/>
    <tableColumn id="2" xr3:uid="{00000000-0010-0000-0000-000002000000}" name="Hora" dataDxfId="34"/>
    <tableColumn id="3" xr3:uid="{00000000-0010-0000-0000-000003000000}" name="ID Paciente"/>
    <tableColumn id="4" xr3:uid="{00000000-0010-0000-0000-000004000000}" name="Nombre y Apellido" dataDxfId="33"/>
    <tableColumn id="5" xr3:uid="{00000000-0010-0000-0000-000005000000}" name="Peso (kg)"/>
    <tableColumn id="6" xr3:uid="{00000000-0010-0000-0000-000006000000}" name="Talla (m)" dataDxfId="32"/>
    <tableColumn id="16" xr3:uid="{EB62B56F-A273-4996-9B57-F6B36FE64967}" name="IMC" dataDxfId="31">
      <calculatedColumnFormula>IFERROR(E2/(Registro_Triage!F2^2),"")</calculatedColumnFormula>
    </tableColumn>
    <tableColumn id="19" xr3:uid="{A3612F64-308B-47A4-B163-BDE1CA9C2210}" name="Sexo" dataDxfId="30"/>
    <tableColumn id="7" xr3:uid="{00000000-0010-0000-0000-000007000000}" name="Perímetro Cintura (m)" dataDxfId="29"/>
    <tableColumn id="8" xr3:uid="{00000000-0010-0000-0000-000008000000}" name="Presión Sistólica 1" dataDxfId="28"/>
    <tableColumn id="17" xr3:uid="{C8E53D07-3C42-4C64-A28A-436C2D390692}" name="Presión Diastólica 1" dataDxfId="27"/>
    <tableColumn id="9" xr3:uid="{00000000-0010-0000-0000-000009000000}" name="Presión Sistólica 2" dataDxfId="26"/>
    <tableColumn id="11" xr3:uid="{00000000-0010-0000-0000-00000B000000}" name="Presión Diastólica 2" dataDxfId="25"/>
    <tableColumn id="12" xr3:uid="{00000000-0010-0000-0000-00000C000000}" name="Frecuencia Cardíaca" dataDxfId="24"/>
    <tableColumn id="13" xr3:uid="{00000000-0010-0000-0000-00000D000000}" name="Glucemia (mg/dl)" dataDxfId="23"/>
    <tableColumn id="14" xr3:uid="{00000000-0010-0000-0000-00000E000000}" name="Saturación O2 (%)" dataDxfId="22"/>
    <tableColumn id="15" xr3:uid="{00000000-0010-0000-0000-00000F000000}" name="Observaciones/Comentarios" dataDxfId="2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_Calculos" displayName="Tabla_Calculos" ref="A1:L12" totalsRowShown="0" headerRowDxfId="12">
  <autoFilter ref="A1:L12" xr:uid="{00000000-0009-0000-0100-000004000000}"/>
  <tableColumns count="12">
    <tableColumn id="1" xr3:uid="{00000000-0010-0000-0100-000001000000}" name="ID Paciente" dataDxfId="11">
      <calculatedColumnFormula>Tabla_Triage[[#This Row],[ID Paciente]]</calculatedColumnFormula>
    </tableColumn>
    <tableColumn id="2" xr3:uid="{00000000-0010-0000-0100-000002000000}" name="Fecha" dataDxfId="10">
      <calculatedColumnFormula>Tabla_Triage[[#This Row],[Fecha]]</calculatedColumnFormula>
    </tableColumn>
    <tableColumn id="13" xr3:uid="{5B10D3AB-37DC-4AC1-B3E1-411DF10FD1D5}" name="Sexo" dataDxfId="9">
      <calculatedColumnFormula>Tabla_Triage[[#This Row],[Sexo]]</calculatedColumnFormula>
    </tableColumn>
    <tableColumn id="3" xr3:uid="{00000000-0010-0000-0100-000003000000}" name="IMC" dataDxfId="8">
      <calculatedColumnFormula>IFERROR(Registro_Triage!E2/(Registro_Triage!F2^2),"")</calculatedColumnFormula>
    </tableColumn>
    <tableColumn id="4" xr3:uid="{00000000-0010-0000-0100-000004000000}" name="Clasificación IMC" dataDxfId="7">
      <calculatedColumnFormula>IF(D2="","",IF(D2&lt;18.5,"Bajo peso",IF(D2&lt;25,"Normal",IF(D2&lt;30,"Sobrepeso","Obesidad"))))</calculatedColumnFormula>
    </tableColumn>
    <tableColumn id="5" xr3:uid="{00000000-0010-0000-0100-000005000000}" name="Presión Sistólica Promedio" dataDxfId="6">
      <calculatedColumnFormula>IF(COUNT(Registro_Triage!J2, Registro_Triage!L2)=0, "", AVERAGE(Registro_Triage!J2, Registro_Triage!L2))</calculatedColumnFormula>
    </tableColumn>
    <tableColumn id="6" xr3:uid="{00000000-0010-0000-0100-000006000000}" name="Presión Diastólica Promedio" dataDxfId="5">
      <calculatedColumnFormula>IF(COUNT(Registro_Triage!K2, Registro_Triage!M2)=0, "", AVERAGE(Registro_Triage!K2, Registro_Triage!M2))</calculatedColumnFormula>
    </tableColumn>
    <tableColumn id="7" xr3:uid="{00000000-0010-0000-0100-000007000000}" name="Riesgo Inicial" dataDxfId="4">
      <calculatedColumnFormula>IF(
OR(I2="",J2="",K2=""),
"",
IF(
OR(I2=1,J2=1),
"ALTO",
IF(K2=1,"MEDIO","BAJO")
)
)</calculatedColumnFormula>
    </tableColumn>
    <tableColumn id="8" xr3:uid="{2AA4B4F3-ACC1-459E-87D6-8904E584A3B4}" name="ALERTA_O2" dataDxfId="3">
      <calculatedColumnFormula>IF(OR(Registro_Triage!P2="", NOT(ISNUMBER(Registro_Triage!P2*1))), "", IF(Registro_Triage!P2*1 &lt; VLOOKUP("Saturación O2 Normal", Referencias!$A:$C, 2, 0), "ALTO", "NORMAL"))</calculatedColumnFormula>
    </tableColumn>
    <tableColumn id="9" xr3:uid="{F79C9761-E006-46E6-A449-D718B8CB107E}" name="ALERTA_Presion" dataDxfId="2">
      <calculatedColumnFormula>IF(
OR(
F2 &gt; VLOOKUP("Presión Sistólica Normal",Referencias!A:C,3,FALSE),
G2 &gt; VLOOKUP("Presión Diastólica Normal",Referencias!A:C,3,FALSE)
),
1,
0
)</calculatedColumnFormula>
    </tableColumn>
    <tableColumn id="10" xr3:uid="{1C56DDB5-870B-4F3E-8434-528DCB879C08}" name="ALERTA_IMC" dataDxfId="1">
      <calculatedColumnFormula>IF(
OR(
D2 &lt; VLOOKUP("IMC Normal",Referencias!A:C,2,FALSE),
D2 &gt; VLOOKUP("IMC Normal",Referencias!A:C,3,FALSE)
),
1,
0
)</calculatedColumnFormula>
    </tableColumn>
    <tableColumn id="12" xr3:uid="{5491193D-3D2C-4BB1-9F1D-AF9F5FC6BE37}" name="ALERTA_Cintura" dataDxfId="0">
      <calculatedColumnFormula>IF(
OR(Registro_Triage!H2="",Registro_Triage!I2=""),
"",
IF(
OR(Registro_Triage!H2="M",Registro_Triage!H2="Masculino"),
IF(Registro_Triage!I2&lt;0.94,"Normal",
IF(Registro_Triage!I2&lt;1.02,"Riesgo aumentado","Alto riesgo")),
IF(
OR(Registro_Triage!H2="F",Registro_Triage!H2="Femenino"),
IF(Registro_Triage!I2&lt;0.8,"Normal",
IF(Registro_Triage!I2&lt;=0.88,"Riesgo aumentado","Alto riesgo")),
""
)
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zoomScale="95" zoomScaleNormal="95" workbookViewId="0">
      <pane ySplit="1" topLeftCell="A2" activePane="bottomLeft" state="frozen"/>
      <selection pane="bottomLeft" activeCell="Q12" sqref="A1:Q12"/>
    </sheetView>
  </sheetViews>
  <sheetFormatPr baseColWidth="10" defaultColWidth="9.140625" defaultRowHeight="15" x14ac:dyDescent="0.25"/>
  <cols>
    <col min="1" max="1" width="11" style="3" bestFit="1" customWidth="1"/>
    <col min="2" max="2" width="8.5703125" style="2" bestFit="1" customWidth="1"/>
    <col min="3" max="3" width="13.42578125" bestFit="1" customWidth="1"/>
    <col min="4" max="4" width="20.140625" style="9" bestFit="1" customWidth="1"/>
    <col min="5" max="5" width="11.42578125" bestFit="1" customWidth="1"/>
    <col min="6" max="6" width="11" bestFit="1" customWidth="1"/>
    <col min="7" max="7" width="19.5703125" style="8" customWidth="1"/>
    <col min="8" max="8" width="7.7109375" style="11" bestFit="1" customWidth="1"/>
    <col min="9" max="9" width="23.85546875" style="9" bestFit="1" customWidth="1"/>
    <col min="10" max="10" width="23.85546875" style="11" customWidth="1"/>
    <col min="11" max="11" width="20.7109375" style="11" bestFit="1" customWidth="1"/>
    <col min="12" max="12" width="19.28515625" style="14" customWidth="1"/>
    <col min="13" max="13" width="20.7109375" style="14" bestFit="1" customWidth="1"/>
    <col min="14" max="14" width="20.5703125" style="14" customWidth="1"/>
    <col min="15" max="15" width="26.28515625" style="14" customWidth="1"/>
    <col min="16" max="16" width="19.140625" style="14" bestFit="1" customWidth="1"/>
    <col min="17" max="17" width="65.85546875" style="11" customWidth="1"/>
    <col min="18" max="18" width="28.85546875" style="9" bestFit="1" customWidth="1"/>
  </cols>
  <sheetData>
    <row r="1" spans="1:18" x14ac:dyDescent="0.25">
      <c r="A1" s="3" t="s">
        <v>0</v>
      </c>
      <c r="B1" s="2" t="s">
        <v>1</v>
      </c>
      <c r="C1" t="s">
        <v>2</v>
      </c>
      <c r="D1" s="17" t="s">
        <v>3</v>
      </c>
      <c r="E1" t="s">
        <v>4</v>
      </c>
      <c r="F1" s="11" t="s">
        <v>5</v>
      </c>
      <c r="G1" s="23" t="s">
        <v>12</v>
      </c>
      <c r="H1" s="17" t="s">
        <v>45</v>
      </c>
      <c r="I1" s="11" t="s">
        <v>49</v>
      </c>
      <c r="J1" s="14" t="s">
        <v>6</v>
      </c>
      <c r="K1" s="14" t="s">
        <v>7</v>
      </c>
      <c r="L1" s="14" t="s">
        <v>8</v>
      </c>
      <c r="M1" s="14" t="s">
        <v>9</v>
      </c>
      <c r="N1" s="14" t="s">
        <v>25</v>
      </c>
      <c r="O1" s="14" t="s">
        <v>10</v>
      </c>
      <c r="P1" s="11" t="s">
        <v>11</v>
      </c>
      <c r="Q1" s="21" t="s">
        <v>31</v>
      </c>
      <c r="R1"/>
    </row>
    <row r="2" spans="1:18" x14ac:dyDescent="0.25">
      <c r="A2" s="3">
        <v>46024</v>
      </c>
      <c r="B2" s="2">
        <v>0.375</v>
      </c>
      <c r="C2">
        <v>42603154</v>
      </c>
      <c r="D2" s="9" t="s">
        <v>26</v>
      </c>
      <c r="E2">
        <v>80</v>
      </c>
      <c r="F2" s="11">
        <v>1.84</v>
      </c>
      <c r="G2" s="8">
        <f>IFERROR(E2/(Registro_Triage!F2^2),"")</f>
        <v>23.629489603024574</v>
      </c>
      <c r="H2" s="9" t="s">
        <v>46</v>
      </c>
      <c r="I2" s="11">
        <v>0.8</v>
      </c>
      <c r="J2" s="14">
        <v>95</v>
      </c>
      <c r="K2" s="14">
        <v>70</v>
      </c>
      <c r="L2" s="14">
        <v>100</v>
      </c>
      <c r="M2" s="14">
        <v>75</v>
      </c>
      <c r="N2" s="14">
        <v>80</v>
      </c>
      <c r="O2" s="14">
        <v>75</v>
      </c>
      <c r="P2" s="11">
        <v>97</v>
      </c>
      <c r="Q2" s="9"/>
      <c r="R2"/>
    </row>
    <row r="3" spans="1:18" x14ac:dyDescent="0.25">
      <c r="A3" s="3">
        <v>46024</v>
      </c>
      <c r="B3" s="2">
        <v>0.39583333333333331</v>
      </c>
      <c r="C3">
        <v>32634451</v>
      </c>
      <c r="D3" s="9" t="s">
        <v>28</v>
      </c>
      <c r="E3">
        <v>84</v>
      </c>
      <c r="F3" s="11">
        <v>1.81</v>
      </c>
      <c r="G3" s="8">
        <f>IFERROR(E3/(Registro_Triage!F3^2),"")</f>
        <v>25.640242971826257</v>
      </c>
      <c r="H3" s="9" t="s">
        <v>46</v>
      </c>
      <c r="I3" s="11">
        <v>0.8</v>
      </c>
      <c r="J3" s="14">
        <v>83</v>
      </c>
      <c r="K3" s="14">
        <v>94</v>
      </c>
      <c r="L3" s="14">
        <v>79</v>
      </c>
      <c r="M3" s="14">
        <v>90</v>
      </c>
      <c r="N3" s="14">
        <v>95</v>
      </c>
      <c r="O3" s="14">
        <v>79</v>
      </c>
      <c r="P3" s="11">
        <v>99</v>
      </c>
      <c r="Q3" s="9" t="s">
        <v>32</v>
      </c>
      <c r="R3"/>
    </row>
    <row r="4" spans="1:18" x14ac:dyDescent="0.25">
      <c r="A4" s="3">
        <v>46025</v>
      </c>
      <c r="B4" s="2">
        <v>0.375</v>
      </c>
      <c r="C4">
        <v>44451324</v>
      </c>
      <c r="D4" s="9" t="s">
        <v>27</v>
      </c>
      <c r="E4">
        <v>90</v>
      </c>
      <c r="F4" s="11">
        <v>1.74</v>
      </c>
      <c r="G4" s="8">
        <f>IFERROR(E4/(Registro_Triage!F4^2),"")</f>
        <v>29.726516052318669</v>
      </c>
      <c r="H4" s="9" t="s">
        <v>46</v>
      </c>
      <c r="I4" s="11">
        <v>0.96</v>
      </c>
      <c r="J4" s="14">
        <v>85</v>
      </c>
      <c r="K4" s="14">
        <v>70</v>
      </c>
      <c r="L4" s="14">
        <v>70</v>
      </c>
      <c r="M4" s="14">
        <v>85</v>
      </c>
      <c r="N4" s="14">
        <v>90</v>
      </c>
      <c r="P4" s="11">
        <v>95</v>
      </c>
      <c r="Q4" s="9" t="s">
        <v>33</v>
      </c>
      <c r="R4"/>
    </row>
    <row r="5" spans="1:18" x14ac:dyDescent="0.25">
      <c r="A5" s="3">
        <v>46025</v>
      </c>
      <c r="B5" s="2">
        <v>0.4375</v>
      </c>
      <c r="C5">
        <v>42451324</v>
      </c>
      <c r="D5" s="9" t="s">
        <v>29</v>
      </c>
      <c r="E5">
        <v>70</v>
      </c>
      <c r="F5" s="11">
        <v>1.75</v>
      </c>
      <c r="G5" s="8">
        <f>IFERROR(E5/(Registro_Triage!F5^2),"")</f>
        <v>22.857142857142858</v>
      </c>
      <c r="H5" s="9" t="s">
        <v>47</v>
      </c>
      <c r="I5" s="11">
        <v>0.7</v>
      </c>
      <c r="J5" s="14">
        <v>89</v>
      </c>
      <c r="K5" s="14">
        <v>85</v>
      </c>
      <c r="L5" s="14">
        <v>95</v>
      </c>
      <c r="M5" s="14">
        <v>98</v>
      </c>
      <c r="N5" s="14">
        <v>97</v>
      </c>
      <c r="P5" s="11">
        <v>100</v>
      </c>
      <c r="Q5" s="9"/>
      <c r="R5"/>
    </row>
    <row r="6" spans="1:18" x14ac:dyDescent="0.25">
      <c r="A6" s="3">
        <v>46027</v>
      </c>
      <c r="B6" s="2">
        <v>0.34027777777777773</v>
      </c>
      <c r="C6">
        <v>32461724</v>
      </c>
      <c r="D6" s="9" t="s">
        <v>30</v>
      </c>
      <c r="E6">
        <v>80</v>
      </c>
      <c r="F6" s="11">
        <v>1.81</v>
      </c>
      <c r="G6" s="8">
        <f>IFERROR(E6/(Registro_Triage!F6^2),"")</f>
        <v>24.419279020786909</v>
      </c>
      <c r="H6" s="9" t="s">
        <v>46</v>
      </c>
      <c r="I6" s="11">
        <v>0.75</v>
      </c>
      <c r="J6" s="14">
        <v>120</v>
      </c>
      <c r="K6" s="14">
        <v>80</v>
      </c>
      <c r="L6" s="14">
        <v>120</v>
      </c>
      <c r="M6" s="14">
        <v>80</v>
      </c>
      <c r="N6" s="14">
        <v>90</v>
      </c>
      <c r="O6" s="14">
        <v>75</v>
      </c>
      <c r="P6" s="11">
        <v>98</v>
      </c>
      <c r="Q6" s="9" t="s">
        <v>34</v>
      </c>
      <c r="R6"/>
    </row>
    <row r="7" spans="1:18" x14ac:dyDescent="0.25">
      <c r="A7" s="3">
        <v>46028</v>
      </c>
      <c r="B7" s="2">
        <v>0.40625</v>
      </c>
      <c r="C7">
        <v>42999324</v>
      </c>
      <c r="D7" s="9" t="s">
        <v>39</v>
      </c>
      <c r="E7">
        <v>72</v>
      </c>
      <c r="F7" s="11">
        <v>1.75</v>
      </c>
      <c r="G7" s="8">
        <f>IFERROR(E7/(Registro_Triage!F7^2),"")</f>
        <v>23.510204081632654</v>
      </c>
      <c r="H7" s="9" t="s">
        <v>46</v>
      </c>
      <c r="I7" s="11">
        <v>0.85</v>
      </c>
      <c r="J7" s="14">
        <v>118</v>
      </c>
      <c r="K7" s="14">
        <v>78</v>
      </c>
      <c r="L7" s="14">
        <v>120</v>
      </c>
      <c r="M7" s="14">
        <v>80</v>
      </c>
      <c r="N7" s="14">
        <v>72</v>
      </c>
      <c r="O7" s="14">
        <v>95</v>
      </c>
      <c r="P7" s="11">
        <v>98</v>
      </c>
      <c r="Q7" s="9"/>
      <c r="R7"/>
    </row>
    <row r="8" spans="1:18" x14ac:dyDescent="0.25">
      <c r="A8" s="3">
        <v>46028</v>
      </c>
      <c r="B8" s="2">
        <v>0.4375</v>
      </c>
      <c r="C8">
        <v>30426305</v>
      </c>
      <c r="D8" s="9" t="s">
        <v>40</v>
      </c>
      <c r="E8">
        <v>82</v>
      </c>
      <c r="F8" s="11">
        <v>1.65</v>
      </c>
      <c r="G8" s="8">
        <f>IFERROR(E8/(Registro_Triage!F8^2),"")</f>
        <v>30.119375573921033</v>
      </c>
      <c r="H8" s="9" t="s">
        <v>47</v>
      </c>
      <c r="I8" s="11">
        <v>0.95</v>
      </c>
      <c r="J8" s="14">
        <v>138</v>
      </c>
      <c r="K8" s="14">
        <v>88</v>
      </c>
      <c r="L8" s="14">
        <v>142</v>
      </c>
      <c r="M8" s="14">
        <v>90</v>
      </c>
      <c r="N8" s="14">
        <v>80</v>
      </c>
      <c r="O8" s="14">
        <v>110</v>
      </c>
      <c r="P8" s="11">
        <v>95</v>
      </c>
      <c r="Q8" s="9" t="s">
        <v>34</v>
      </c>
      <c r="R8"/>
    </row>
    <row r="9" spans="1:18" x14ac:dyDescent="0.25">
      <c r="A9" s="3">
        <v>46029</v>
      </c>
      <c r="B9" s="2">
        <v>0.48958333333333331</v>
      </c>
      <c r="C9">
        <v>22841369</v>
      </c>
      <c r="D9" s="9" t="s">
        <v>41</v>
      </c>
      <c r="E9">
        <v>95</v>
      </c>
      <c r="F9" s="11">
        <v>1.7</v>
      </c>
      <c r="G9" s="8">
        <f>IFERROR(E9/(Registro_Triage!F9^2),"")</f>
        <v>32.871972318339104</v>
      </c>
      <c r="H9" s="9" t="s">
        <v>46</v>
      </c>
      <c r="I9" s="11">
        <v>1.05</v>
      </c>
      <c r="J9" s="14">
        <v>165</v>
      </c>
      <c r="K9" s="14">
        <v>102</v>
      </c>
      <c r="L9" s="14">
        <v>170</v>
      </c>
      <c r="M9" s="14">
        <v>104</v>
      </c>
      <c r="N9" s="14">
        <v>96</v>
      </c>
      <c r="O9" s="14">
        <v>160</v>
      </c>
      <c r="P9" s="11">
        <v>89</v>
      </c>
      <c r="Q9" s="9" t="s">
        <v>33</v>
      </c>
      <c r="R9"/>
    </row>
    <row r="10" spans="1:18" x14ac:dyDescent="0.25">
      <c r="A10" s="3">
        <v>45664</v>
      </c>
      <c r="B10" s="2">
        <v>0.51041666666666663</v>
      </c>
      <c r="C10">
        <v>22123456</v>
      </c>
      <c r="D10" s="9" t="s">
        <v>42</v>
      </c>
      <c r="E10">
        <v>85</v>
      </c>
      <c r="F10" s="11">
        <v>1.7</v>
      </c>
      <c r="G10" s="8">
        <f>IFERROR(E10/(Registro_Triage!F10^2),"")</f>
        <v>29.411764705882355</v>
      </c>
      <c r="H10" s="9" t="s">
        <v>46</v>
      </c>
      <c r="I10" s="11">
        <v>0.85</v>
      </c>
      <c r="J10" s="14">
        <v>95</v>
      </c>
      <c r="K10" s="14">
        <v>65</v>
      </c>
      <c r="L10" s="14">
        <v>115</v>
      </c>
      <c r="M10" s="14">
        <v>75</v>
      </c>
      <c r="N10" s="14">
        <v>80</v>
      </c>
      <c r="O10" s="14">
        <v>110</v>
      </c>
      <c r="P10" s="11">
        <v>94</v>
      </c>
      <c r="Q10" s="9" t="s">
        <v>43</v>
      </c>
      <c r="R10"/>
    </row>
    <row r="11" spans="1:18" x14ac:dyDescent="0.25">
      <c r="A11" s="3">
        <v>45664</v>
      </c>
      <c r="B11" s="2">
        <v>0.34375</v>
      </c>
      <c r="C11">
        <v>39852147</v>
      </c>
      <c r="D11" s="9" t="s">
        <v>44</v>
      </c>
      <c r="E11">
        <v>60</v>
      </c>
      <c r="F11" s="11">
        <v>1.67</v>
      </c>
      <c r="G11" s="8">
        <f>IFERROR(E11/(Registro_Triage!F11^2),"")</f>
        <v>21.513858510523864</v>
      </c>
      <c r="H11" s="9" t="s">
        <v>47</v>
      </c>
      <c r="I11" s="11">
        <v>0.7</v>
      </c>
      <c r="J11" s="14">
        <v>112</v>
      </c>
      <c r="K11" s="14">
        <v>72</v>
      </c>
      <c r="L11" s="14">
        <v>115</v>
      </c>
      <c r="M11" s="14">
        <v>74</v>
      </c>
      <c r="N11" s="14">
        <v>80</v>
      </c>
      <c r="O11" s="14">
        <v>75</v>
      </c>
      <c r="P11" s="11">
        <v>98</v>
      </c>
      <c r="Q11" s="9"/>
      <c r="R11"/>
    </row>
    <row r="12" spans="1:18" x14ac:dyDescent="0.25">
      <c r="A12" s="3">
        <v>46036</v>
      </c>
      <c r="B12" s="2">
        <v>0.39583333333333331</v>
      </c>
      <c r="C12">
        <v>40329710</v>
      </c>
      <c r="D12" s="9" t="s">
        <v>50</v>
      </c>
      <c r="E12">
        <v>80</v>
      </c>
      <c r="F12" s="11">
        <v>1.84</v>
      </c>
      <c r="G12" s="8">
        <f>IFERROR(E12/(Registro_Triage!F12^2),"")</f>
        <v>23.629489603024574</v>
      </c>
      <c r="H12" s="22" t="s">
        <v>46</v>
      </c>
      <c r="I12" s="22">
        <v>0.8</v>
      </c>
      <c r="J12" s="14">
        <v>140</v>
      </c>
      <c r="K12" s="14">
        <v>90</v>
      </c>
      <c r="L12" s="14">
        <v>130</v>
      </c>
      <c r="M12" s="14">
        <v>80</v>
      </c>
      <c r="N12" s="14">
        <v>80</v>
      </c>
      <c r="O12" s="14">
        <v>75</v>
      </c>
      <c r="P12" s="11">
        <v>97</v>
      </c>
      <c r="Q12" s="22" t="s">
        <v>51</v>
      </c>
    </row>
  </sheetData>
  <phoneticPr fontId="2" type="noConversion"/>
  <pageMargins left="0.75" right="0.75" top="1" bottom="1" header="0.5" footer="0.5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zoomScaleNormal="100" workbookViewId="0">
      <pane ySplit="1" topLeftCell="A2" activePane="bottomLeft" state="frozen"/>
      <selection activeCell="B1" sqref="B1"/>
      <selection pane="bottomLeft" activeCell="H12" sqref="H12"/>
    </sheetView>
  </sheetViews>
  <sheetFormatPr baseColWidth="10" defaultColWidth="9.140625" defaultRowHeight="15" x14ac:dyDescent="0.25"/>
  <cols>
    <col min="1" max="1" width="13.28515625" bestFit="1" customWidth="1"/>
    <col min="2" max="2" width="9.7109375" style="1" bestFit="1" customWidth="1"/>
    <col min="3" max="3" width="7.5703125" style="1" bestFit="1" customWidth="1"/>
    <col min="4" max="4" width="6.85546875" style="8" bestFit="1" customWidth="1"/>
    <col min="5" max="5" width="18.42578125" style="9" bestFit="1" customWidth="1"/>
    <col min="6" max="6" width="27.140625" style="11" bestFit="1" customWidth="1"/>
    <col min="7" max="7" width="28.42578125" style="11" bestFit="1" customWidth="1"/>
    <col min="8" max="8" width="15" style="9" customWidth="1"/>
    <col min="9" max="9" width="13.28515625" style="9" bestFit="1" customWidth="1"/>
    <col min="10" max="10" width="17.5703125" bestFit="1" customWidth="1"/>
    <col min="11" max="11" width="14.42578125" bestFit="1" customWidth="1"/>
    <col min="12" max="12" width="17.28515625" bestFit="1" customWidth="1"/>
  </cols>
  <sheetData>
    <row r="1" spans="1:12" s="17" customFormat="1" x14ac:dyDescent="0.25">
      <c r="A1" s="17" t="s">
        <v>2</v>
      </c>
      <c r="B1" s="18" t="s">
        <v>0</v>
      </c>
      <c r="C1" s="18" t="s">
        <v>45</v>
      </c>
      <c r="D1" s="19" t="s">
        <v>12</v>
      </c>
      <c r="E1" s="17" t="s">
        <v>13</v>
      </c>
      <c r="F1" s="20" t="s">
        <v>14</v>
      </c>
      <c r="G1" s="20" t="s">
        <v>15</v>
      </c>
      <c r="H1" s="17" t="s">
        <v>35</v>
      </c>
      <c r="I1" s="17" t="s">
        <v>36</v>
      </c>
      <c r="J1" s="17" t="s">
        <v>37</v>
      </c>
      <c r="K1" s="17" t="s">
        <v>38</v>
      </c>
      <c r="L1" s="17" t="s">
        <v>48</v>
      </c>
    </row>
    <row r="2" spans="1:12" x14ac:dyDescent="0.25">
      <c r="A2">
        <f>Tabla_Triage[[#This Row],[ID Paciente]]</f>
        <v>42603154</v>
      </c>
      <c r="B2" s="1">
        <f>Tabla_Triage[[#This Row],[Fecha]]</f>
        <v>46024</v>
      </c>
      <c r="C2" s="1" t="str">
        <f>Tabla_Triage[[#This Row],[Sexo]]</f>
        <v>M</v>
      </c>
      <c r="D2" s="8">
        <f>IFERROR(Registro_Triage!E2/(Registro_Triage!F2^2),"")</f>
        <v>23.629489603024574</v>
      </c>
      <c r="E2" s="9" t="str">
        <f>IF(D2="","",IF(D2&lt;18.5,"Bajo peso",IF(D2&lt;25,"Normal",IF(D2&lt;30,"Sobrepeso","Obesidad"))))</f>
        <v>Normal</v>
      </c>
      <c r="F2" s="11">
        <f>IF(COUNT(Registro_Triage!J2, Registro_Triage!L2)=0, "", AVERAGE(Registro_Triage!J2, Registro_Triage!L2))</f>
        <v>97.5</v>
      </c>
      <c r="G2" s="11">
        <f>IF(COUNT(Registro_Triage!K2, Registro_Triage!M2)=0, "", AVERAGE(Registro_Triage!K2, Registro_Triage!M2))</f>
        <v>72.5</v>
      </c>
      <c r="H2" s="9" t="str">
        <f t="shared" ref="H2:H11" si="0">IF(
OR(I2="",J2="",K2=""),
"",
IF(
OR(I2=1,J2=1),
"ALTO",
IF(K2=1,"MEDIO","BAJO")
)
)</f>
        <v>BAJO</v>
      </c>
      <c r="I2" s="9" t="str">
        <f>IF(OR(Registro_Triage!P2="", NOT(ISNUMBER(Registro_Triage!P2*1))), "", IF(Registro_Triage!P2*1 &lt; VLOOKUP("Saturación O2 Normal", Referencias!$A:$C, 2, 0), "ALTO", "NORMAL"))</f>
        <v>NORMAL</v>
      </c>
      <c r="J2">
        <f>IF(
OR(
F2 &gt; VLOOKUP("Presión Sistólica Normal",Referencias!A:C,3,FALSE),
G2 &gt; VLOOKUP("Presión Diastólica Normal",Referencias!A:C,3,FALSE)
),
1,
0
)</f>
        <v>0</v>
      </c>
      <c r="K2">
        <f>IF(
OR(
D2 &lt; VLOOKUP("IMC Normal",Referencias!A:C,2,FALSE),
D2 &gt; VLOOKUP("IMC Normal",Referencias!A:C,3,FALSE)
),
1,
0
)</f>
        <v>0</v>
      </c>
      <c r="L2" t="str">
        <f>IF(
OR(Registro_Triage!H2="",Registro_Triage!I2=""),
"",
IF(
OR(Registro_Triage!H2="M",Registro_Triage!H2="Masculino"),
IF(Registro_Triage!I2&lt;0.94,"Normal",
IF(Registro_Triage!I2&lt;1.02,"Riesgo aumentado","Alto riesgo")),
IF(
OR(Registro_Triage!H2="F",Registro_Triage!H2="Femenino"),
IF(Registro_Triage!I2&lt;0.8,"Normal",
IF(Registro_Triage!I2&lt;=0.88,"Riesgo aumentado","Alto riesgo")),
""
)
))</f>
        <v>Normal</v>
      </c>
    </row>
    <row r="3" spans="1:12" x14ac:dyDescent="0.25">
      <c r="A3">
        <f>Tabla_Triage[[#This Row],[ID Paciente]]</f>
        <v>32634451</v>
      </c>
      <c r="B3" s="1">
        <f>Tabla_Triage[[#This Row],[Fecha]]</f>
        <v>46024</v>
      </c>
      <c r="C3" s="1" t="str">
        <f>Tabla_Triage[[#This Row],[Sexo]]</f>
        <v>M</v>
      </c>
      <c r="D3" s="8">
        <f>IFERROR(Registro_Triage!E3/(Registro_Triage!F3^2),"")</f>
        <v>25.640242971826257</v>
      </c>
      <c r="E3" s="9" t="str">
        <f t="shared" ref="E3:E6" si="1">IF(D3="","",IF(D3&lt;18.5,"Bajo peso",IF(D3&lt;25,"Normal",IF(D3&lt;30,"Sobrepeso","Obesidad"))))</f>
        <v>Sobrepeso</v>
      </c>
      <c r="F3" s="11">
        <f>IF(COUNT(Registro_Triage!J3, Registro_Triage!L3)=0, "", AVERAGE(Registro_Triage!J3, Registro_Triage!L3))</f>
        <v>81</v>
      </c>
      <c r="G3" s="11">
        <f>IF(COUNT(Registro_Triage!K3, Registro_Triage!M3)=0, "", AVERAGE(Registro_Triage!K3, Registro_Triage!M3))</f>
        <v>92</v>
      </c>
      <c r="H3" s="9" t="str">
        <f t="shared" si="0"/>
        <v>ALTO</v>
      </c>
      <c r="I3" s="9" t="str">
        <f>IF(OR(Registro_Triage!P3="", NOT(ISNUMBER(Registro_Triage!P3*1))), "", IF(Registro_Triage!P3*1 &lt; VLOOKUP("Saturación O2 Normal", Referencias!$A:$C, 2, 0), "ALTO", "NORMAL"))</f>
        <v>NORMAL</v>
      </c>
      <c r="J3">
        <f>IF(
OR(
F3 &gt; VLOOKUP("Presión Sistólica Normal",Referencias!A:C,3,FALSE),
G3 &gt; VLOOKUP("Presión Diastólica Normal",Referencias!A:C,3,FALSE)
),
1,
0
)</f>
        <v>1</v>
      </c>
      <c r="K3">
        <f>IF(
OR(
D3 &lt; VLOOKUP("IMC Normal",Referencias!A:C,2,FALSE),
D3 &gt; VLOOKUP("IMC Normal",Referencias!A:C,3,FALSE)
),
1,
0
)</f>
        <v>1</v>
      </c>
      <c r="L3" t="str">
        <f>IF(
OR(Registro_Triage!H3="",Registro_Triage!I3=""),
"",
IF(
OR(Registro_Triage!H3="M",Registro_Triage!H3="Masculino"),
IF(Registro_Triage!I3&lt;0.94,"Normal",
IF(Registro_Triage!I3&lt;1.02,"Riesgo aumentado","Alto riesgo")),
IF(
OR(Registro_Triage!H3="F",Registro_Triage!H3="Femenino"),
IF(Registro_Triage!I3&lt;0.8,"Normal",
IF(Registro_Triage!I3&lt;=0.88,"Riesgo aumentado","Alto riesgo")),
""
)
))</f>
        <v>Normal</v>
      </c>
    </row>
    <row r="4" spans="1:12" x14ac:dyDescent="0.25">
      <c r="A4">
        <f>Tabla_Triage[[#This Row],[ID Paciente]]</f>
        <v>44451324</v>
      </c>
      <c r="B4" s="1">
        <f>Tabla_Triage[[#This Row],[Fecha]]</f>
        <v>46025</v>
      </c>
      <c r="C4" s="1" t="str">
        <f>Tabla_Triage[[#This Row],[Sexo]]</f>
        <v>M</v>
      </c>
      <c r="D4" s="8">
        <f>IFERROR(Registro_Triage!E4/(Registro_Triage!F4^2),"")</f>
        <v>29.726516052318669</v>
      </c>
      <c r="E4" s="9" t="str">
        <f t="shared" si="1"/>
        <v>Sobrepeso</v>
      </c>
      <c r="F4" s="11">
        <f>IF(COUNT(Registro_Triage!J4, Registro_Triage!L4)=0, "", AVERAGE(Registro_Triage!J4, Registro_Triage!L4))</f>
        <v>77.5</v>
      </c>
      <c r="G4" s="11">
        <f>IF(COUNT(Registro_Triage!K4, Registro_Triage!M4)=0, "", AVERAGE(Registro_Triage!K4, Registro_Triage!M4))</f>
        <v>77.5</v>
      </c>
      <c r="H4" s="9" t="str">
        <f t="shared" si="0"/>
        <v>MEDIO</v>
      </c>
      <c r="I4" s="9" t="str">
        <f>IF(OR(Registro_Triage!P4="", NOT(ISNUMBER(Registro_Triage!P4*1))), "", IF(Registro_Triage!P4*1 &lt; VLOOKUP("Saturación O2 Normal", Referencias!$A:$C, 2, 0), "ALTO", "NORMAL"))</f>
        <v>NORMAL</v>
      </c>
      <c r="J4">
        <f>IF(
OR(
F4 &gt; VLOOKUP("Presión Sistólica Normal",Referencias!A:C,3,FALSE),
G4 &gt; VLOOKUP("Presión Diastólica Normal",Referencias!A:C,3,FALSE)
),
1,
0
)</f>
        <v>0</v>
      </c>
      <c r="K4">
        <f>IF(
OR(
D4 &lt; VLOOKUP("IMC Normal",Referencias!A:C,2,FALSE),
D4 &gt; VLOOKUP("IMC Normal",Referencias!A:C,3,FALSE)
),
1,
0
)</f>
        <v>1</v>
      </c>
      <c r="L4" t="str">
        <f>IF(
OR(Registro_Triage!H4="",Registro_Triage!I4=""),
"",
IF(
OR(Registro_Triage!H4="M",Registro_Triage!H4="Masculino"),
IF(Registro_Triage!I4&lt;0.94,"Normal",
IF(Registro_Triage!I4&lt;1.02,"Riesgo aumentado","Alto riesgo")),
IF(
OR(Registro_Triage!H4="F",Registro_Triage!H4="Femenino"),
IF(Registro_Triage!I4&lt;0.8,"Normal",
IF(Registro_Triage!I4&lt;=0.88,"Riesgo aumentado","Alto riesgo")),
""
)
))</f>
        <v>Riesgo aumentado</v>
      </c>
    </row>
    <row r="5" spans="1:12" x14ac:dyDescent="0.25">
      <c r="A5">
        <f>Tabla_Triage[[#This Row],[ID Paciente]]</f>
        <v>42451324</v>
      </c>
      <c r="B5" s="1">
        <f>Tabla_Triage[[#This Row],[Fecha]]</f>
        <v>46025</v>
      </c>
      <c r="C5" s="1" t="str">
        <f>Tabla_Triage[[#This Row],[Sexo]]</f>
        <v>F</v>
      </c>
      <c r="D5" s="8">
        <f>IFERROR(Registro_Triage!E5/(Registro_Triage!F5^2),"")</f>
        <v>22.857142857142858</v>
      </c>
      <c r="E5" s="9" t="str">
        <f t="shared" si="1"/>
        <v>Normal</v>
      </c>
      <c r="F5" s="11">
        <f>IF(COUNT(Registro_Triage!J5, Registro_Triage!L5)=0, "", AVERAGE(Registro_Triage!J5, Registro_Triage!L5))</f>
        <v>92</v>
      </c>
      <c r="G5" s="11">
        <f>IF(COUNT(Registro_Triage!K5, Registro_Triage!M5)=0, "", AVERAGE(Registro_Triage!K5, Registro_Triage!M5))</f>
        <v>91.5</v>
      </c>
      <c r="H5" s="9" t="str">
        <f t="shared" si="0"/>
        <v>ALTO</v>
      </c>
      <c r="I5" s="9" t="str">
        <f>IF(OR(Registro_Triage!P5="", NOT(ISNUMBER(Registro_Triage!P5*1))), "", IF(Registro_Triage!P5*1 &lt; VLOOKUP("Saturación O2 Normal", Referencias!$A:$C, 2, 0), "ALTO", "NORMAL"))</f>
        <v>NORMAL</v>
      </c>
      <c r="J5">
        <f>IF(
OR(
F5 &gt; VLOOKUP("Presión Sistólica Normal",Referencias!A:C,3,FALSE),
G5 &gt; VLOOKUP("Presión Diastólica Normal",Referencias!A:C,3,FALSE)
),
1,
0
)</f>
        <v>1</v>
      </c>
      <c r="K5">
        <f>IF(
OR(
D5 &lt; VLOOKUP("IMC Normal",Referencias!A:C,2,FALSE),
D5 &gt; VLOOKUP("IMC Normal",Referencias!A:C,3,FALSE)
),
1,
0
)</f>
        <v>0</v>
      </c>
      <c r="L5" t="str">
        <f>IF(
OR(Registro_Triage!H5="",Registro_Triage!I5=""),
"",
IF(
OR(Registro_Triage!H5="M",Registro_Triage!H5="Masculino"),
IF(Registro_Triage!I5&lt;0.94,"Normal",
IF(Registro_Triage!I5&lt;1.02,"Riesgo aumentado","Alto riesgo")),
IF(
OR(Registro_Triage!H5="F",Registro_Triage!H5="Femenino"),
IF(Registro_Triage!I5&lt;0.8,"Normal",
IF(Registro_Triage!I5&lt;=0.88,"Riesgo aumentado","Alto riesgo")),
""
)
))</f>
        <v>Normal</v>
      </c>
    </row>
    <row r="6" spans="1:12" x14ac:dyDescent="0.25">
      <c r="A6">
        <f>Tabla_Triage[[#This Row],[ID Paciente]]</f>
        <v>32461724</v>
      </c>
      <c r="B6" s="1">
        <f>Tabla_Triage[[#This Row],[Fecha]]</f>
        <v>46027</v>
      </c>
      <c r="C6" s="1" t="str">
        <f>Tabla_Triage[[#This Row],[Sexo]]</f>
        <v>M</v>
      </c>
      <c r="D6" s="8">
        <f>IFERROR(Registro_Triage!E6/(Registro_Triage!F6^2),"")</f>
        <v>24.419279020786909</v>
      </c>
      <c r="E6" s="9" t="str">
        <f t="shared" si="1"/>
        <v>Normal</v>
      </c>
      <c r="F6" s="11">
        <f>IF(COUNT(Registro_Triage!J6, Registro_Triage!L6)=0, "", AVERAGE(Registro_Triage!J6, Registro_Triage!L6))</f>
        <v>120</v>
      </c>
      <c r="G6" s="11">
        <f>IF(COUNT(Registro_Triage!K6, Registro_Triage!M6)=0, "", AVERAGE(Registro_Triage!K6, Registro_Triage!M6))</f>
        <v>80</v>
      </c>
      <c r="H6" s="9" t="str">
        <f t="shared" si="0"/>
        <v>BAJO</v>
      </c>
      <c r="I6" s="9" t="str">
        <f>IF(OR(Registro_Triage!P6="", NOT(ISNUMBER(Registro_Triage!P6*1))), "", IF(Registro_Triage!P6*1 &lt; VLOOKUP("Saturación O2 Normal", Referencias!$A:$C, 2, 0), "ALTO", "NORMAL"))</f>
        <v>NORMAL</v>
      </c>
      <c r="J6">
        <f>IF(
OR(
F6 &gt; VLOOKUP("Presión Sistólica Normal",Referencias!A:C,3,FALSE),
G6 &gt; VLOOKUP("Presión Diastólica Normal",Referencias!A:C,3,FALSE)
),
1,
0
)</f>
        <v>0</v>
      </c>
      <c r="K6">
        <f>IF(
OR(
D6 &lt; VLOOKUP("IMC Normal",Referencias!A:C,2,FALSE),
D6 &gt; VLOOKUP("IMC Normal",Referencias!A:C,3,FALSE)
),
1,
0
)</f>
        <v>0</v>
      </c>
      <c r="L6" t="str">
        <f>IF(
OR(Registro_Triage!H6="",Registro_Triage!I6=""),
"",
IF(
OR(Registro_Triage!H6="M",Registro_Triage!H6="Masculino"),
IF(Registro_Triage!I6&lt;0.94,"Normal",
IF(Registro_Triage!I6&lt;1.02,"Riesgo aumentado","Alto riesgo")),
IF(
OR(Registro_Triage!H6="F",Registro_Triage!H6="Femenino"),
IF(Registro_Triage!I6&lt;0.8,"Normal",
IF(Registro_Triage!I6&lt;=0.88,"Riesgo aumentado","Alto riesgo")),
""
)
))</f>
        <v>Normal</v>
      </c>
    </row>
    <row r="7" spans="1:12" x14ac:dyDescent="0.25">
      <c r="A7">
        <f>Tabla_Triage[[#This Row],[ID Paciente]]</f>
        <v>42999324</v>
      </c>
      <c r="B7" s="1">
        <f>Tabla_Triage[[#This Row],[Fecha]]</f>
        <v>46028</v>
      </c>
      <c r="C7" s="1" t="str">
        <f>Tabla_Triage[[#This Row],[Sexo]]</f>
        <v>M</v>
      </c>
      <c r="D7" s="8">
        <f>IFERROR(Registro_Triage!E7/(Registro_Triage!F7^2),"")</f>
        <v>23.510204081632654</v>
      </c>
      <c r="E7" s="9" t="str">
        <f t="shared" ref="E7:E12" si="2">IF(D7="","",IF(D7&lt;18.5,"Bajo peso",IF(D7&lt;25,"Normal",IF(D7&lt;30,"Sobrepeso","Obesidad"))))</f>
        <v>Normal</v>
      </c>
      <c r="F7" s="11">
        <f>IF(COUNT(Registro_Triage!J7, Registro_Triage!L7)=0, "", AVERAGE(Registro_Triage!J7, Registro_Triage!L7))</f>
        <v>119</v>
      </c>
      <c r="G7" s="11">
        <f>IF(COUNT(Registro_Triage!K7, Registro_Triage!M7)=0, "", AVERAGE(Registro_Triage!K7, Registro_Triage!M7))</f>
        <v>79</v>
      </c>
      <c r="H7" s="9" t="str">
        <f t="shared" si="0"/>
        <v>BAJO</v>
      </c>
      <c r="I7" s="9" t="str">
        <f>IF(OR(Registro_Triage!P7="", NOT(ISNUMBER(Registro_Triage!P7*1))), "", IF(Registro_Triage!P7*1 &lt; VLOOKUP("Saturación O2 Normal", Referencias!$A:$C, 2, 0), "ALTO", "NORMAL"))</f>
        <v>NORMAL</v>
      </c>
      <c r="J7">
        <f>IF(
OR(
F7 &gt; VLOOKUP("Presión Sistólica Normal",Referencias!A:C,3,FALSE),
G7 &gt; VLOOKUP("Presión Diastólica Normal",Referencias!A:C,3,FALSE)
),
1,
0
)</f>
        <v>0</v>
      </c>
      <c r="K7">
        <f>IF(
OR(
D7 &lt; VLOOKUP("IMC Normal",Referencias!A:C,2,FALSE),
D7 &gt; VLOOKUP("IMC Normal",Referencias!A:C,3,FALSE)
),
1,
0
)</f>
        <v>0</v>
      </c>
      <c r="L7" t="str">
        <f>IF(
OR(Registro_Triage!H7="",Registro_Triage!I7=""),
"",
IF(
OR(Registro_Triage!H7="M",Registro_Triage!H7="Masculino"),
IF(Registro_Triage!I7&lt;0.94,"Normal",
IF(Registro_Triage!I7&lt;1.02,"Riesgo aumentado","Alto riesgo")),
IF(
OR(Registro_Triage!H7="F",Registro_Triage!H7="Femenino"),
IF(Registro_Triage!I7&lt;0.8,"Normal",
IF(Registro_Triage!I7&lt;=0.88,"Riesgo aumentado","Alto riesgo")),
""
)
))</f>
        <v>Normal</v>
      </c>
    </row>
    <row r="8" spans="1:12" x14ac:dyDescent="0.25">
      <c r="A8">
        <f>Tabla_Triage[[#This Row],[ID Paciente]]</f>
        <v>30426305</v>
      </c>
      <c r="B8" s="1">
        <f>Tabla_Triage[[#This Row],[Fecha]]</f>
        <v>46028</v>
      </c>
      <c r="C8" s="1" t="str">
        <f>Tabla_Triage[[#This Row],[Sexo]]</f>
        <v>F</v>
      </c>
      <c r="D8" s="8">
        <f>IFERROR(Registro_Triage!E8/(Registro_Triage!F8^2),"")</f>
        <v>30.119375573921033</v>
      </c>
      <c r="E8" s="9" t="str">
        <f t="shared" si="2"/>
        <v>Obesidad</v>
      </c>
      <c r="F8" s="11">
        <f>IF(COUNT(Registro_Triage!J8, Registro_Triage!L8)=0, "", AVERAGE(Registro_Triage!J8, Registro_Triage!L8))</f>
        <v>140</v>
      </c>
      <c r="G8" s="11">
        <f>IF(COUNT(Registro_Triage!K8, Registro_Triage!M8)=0, "", AVERAGE(Registro_Triage!K8, Registro_Triage!M8))</f>
        <v>89</v>
      </c>
      <c r="H8" s="9" t="str">
        <f t="shared" si="0"/>
        <v>ALTO</v>
      </c>
      <c r="I8" s="9" t="str">
        <f>IF(OR(Registro_Triage!P8="", NOT(ISNUMBER(Registro_Triage!P8*1))), "", IF(Registro_Triage!P8*1 &lt; VLOOKUP("Saturación O2 Normal", Referencias!$A:$C, 2, 0), "ALTO", "NORMAL"))</f>
        <v>NORMAL</v>
      </c>
      <c r="J8" s="4">
        <f>IF(
OR(
F8 &gt; VLOOKUP("Presión Sistólica Normal",Referencias!A:C,3,FALSE),
G8 &gt; VLOOKUP("Presión Diastólica Normal",Referencias!A:C,3,FALSE)
),
1,
0
)</f>
        <v>1</v>
      </c>
      <c r="K8" s="4">
        <f>IF(
OR(
D8 &lt; VLOOKUP("IMC Normal",Referencias!A:C,2,FALSE),
D8 &gt; VLOOKUP("IMC Normal",Referencias!A:C,3,FALSE)
),
1,
0
)</f>
        <v>1</v>
      </c>
      <c r="L8" t="str">
        <f>IF(
OR(Registro_Triage!H8="",Registro_Triage!I8=""),
"",
IF(
OR(Registro_Triage!H8="M",Registro_Triage!H8="Masculino"),
IF(Registro_Triage!I8&lt;0.94,"Normal",
IF(Registro_Triage!I8&lt;1.02,"Riesgo aumentado","Alto riesgo")),
IF(
OR(Registro_Triage!H8="F",Registro_Triage!H8="Femenino"),
IF(Registro_Triage!I8&lt;0.8,"Normal",
IF(Registro_Triage!I8&lt;=0.88,"Riesgo aumentado","Alto riesgo")),
""
)
))</f>
        <v>Alto riesgo</v>
      </c>
    </row>
    <row r="9" spans="1:12" x14ac:dyDescent="0.25">
      <c r="A9">
        <f>Tabla_Triage[[#This Row],[ID Paciente]]</f>
        <v>22841369</v>
      </c>
      <c r="B9" s="1">
        <f>Tabla_Triage[[#This Row],[Fecha]]</f>
        <v>46029</v>
      </c>
      <c r="C9" s="1" t="str">
        <f>Tabla_Triage[[#This Row],[Sexo]]</f>
        <v>M</v>
      </c>
      <c r="D9" s="8">
        <f>IFERROR(Registro_Triage!E9/(Registro_Triage!F9^2),"")</f>
        <v>32.871972318339104</v>
      </c>
      <c r="E9" s="9" t="str">
        <f t="shared" si="2"/>
        <v>Obesidad</v>
      </c>
      <c r="F9" s="11">
        <f>IF(COUNT(Registro_Triage!J9, Registro_Triage!L9)=0, "", AVERAGE(Registro_Triage!J9, Registro_Triage!L9))</f>
        <v>167.5</v>
      </c>
      <c r="G9" s="11">
        <f>IF(COUNT(Registro_Triage!K9, Registro_Triage!M9)=0, "", AVERAGE(Registro_Triage!K9, Registro_Triage!M9))</f>
        <v>103</v>
      </c>
      <c r="H9" s="9" t="str">
        <f t="shared" si="0"/>
        <v>ALTO</v>
      </c>
      <c r="I9" s="9" t="str">
        <f>IF(OR(Registro_Triage!P9="", NOT(ISNUMBER(Registro_Triage!P9*1))), "", IF(Registro_Triage!P9*1 &lt; VLOOKUP("Saturación O2 Normal", Referencias!$A:$C, 2, 0), "ALTO", "NORMAL"))</f>
        <v>ALTO</v>
      </c>
      <c r="J9" s="4">
        <f>IF(
OR(
F9 &gt; VLOOKUP("Presión Sistólica Normal",Referencias!A:C,3,FALSE),
G9 &gt; VLOOKUP("Presión Diastólica Normal",Referencias!A:C,3,FALSE)
),
1,
0
)</f>
        <v>1</v>
      </c>
      <c r="K9" s="4">
        <f>IF(
OR(
D9 &lt; VLOOKUP("IMC Normal",Referencias!A:C,2,FALSE),
D9 &gt; VLOOKUP("IMC Normal",Referencias!A:C,3,FALSE)
),
1,
0
)</f>
        <v>1</v>
      </c>
      <c r="L9" t="str">
        <f>IF(
OR(Registro_Triage!H9="",Registro_Triage!I9=""),
"",
IF(
OR(Registro_Triage!H9="M",Registro_Triage!H9="Masculino"),
IF(Registro_Triage!I9&lt;0.94,"Normal",
IF(Registro_Triage!I9&lt;1.02,"Riesgo aumentado","Alto riesgo")),
IF(
OR(Registro_Triage!H9="F",Registro_Triage!H9="Femenino"),
IF(Registro_Triage!I9&lt;0.8,"Normal",
IF(Registro_Triage!I9&lt;=0.88,"Riesgo aumentado","Alto riesgo")),
""
)
))</f>
        <v>Alto riesgo</v>
      </c>
    </row>
    <row r="10" spans="1:12" x14ac:dyDescent="0.25">
      <c r="A10">
        <f>Tabla_Triage[[#This Row],[ID Paciente]]</f>
        <v>22123456</v>
      </c>
      <c r="B10" s="1">
        <f>Tabla_Triage[[#This Row],[Fecha]]</f>
        <v>45664</v>
      </c>
      <c r="C10" s="1" t="str">
        <f>Tabla_Triage[[#This Row],[Sexo]]</f>
        <v>M</v>
      </c>
      <c r="D10" s="8">
        <f>IFERROR(Registro_Triage!E10/(Registro_Triage!F10^2),"")</f>
        <v>29.411764705882355</v>
      </c>
      <c r="E10" s="9" t="str">
        <f t="shared" si="2"/>
        <v>Sobrepeso</v>
      </c>
      <c r="F10" s="11">
        <f>IF(COUNT(Registro_Triage!J10, Registro_Triage!L10)=0, "", AVERAGE(Registro_Triage!J10, Registro_Triage!L10))</f>
        <v>105</v>
      </c>
      <c r="G10" s="11">
        <f>IF(COUNT(Registro_Triage!K10, Registro_Triage!M10)=0, "", AVERAGE(Registro_Triage!K10, Registro_Triage!M10))</f>
        <v>70</v>
      </c>
      <c r="H10" s="13" t="str">
        <f t="shared" si="0"/>
        <v>MEDIO</v>
      </c>
      <c r="I10" s="13" t="str">
        <f>IF(OR(Registro_Triage!P10="", NOT(ISNUMBER(Registro_Triage!P10*1))), "", IF(Registro_Triage!P10*1 &lt; VLOOKUP("Saturación O2 Normal", Referencias!$A:$C, 2, 0), "ALTO", "NORMAL"))</f>
        <v>ALTO</v>
      </c>
      <c r="J10" s="4">
        <f>IF(
OR(
F10 &gt; VLOOKUP("Presión Sistólica Normal",Referencias!A:C,3,FALSE),
G10 &gt; VLOOKUP("Presión Diastólica Normal",Referencias!A:C,3,FALSE)
),
1,
0
)</f>
        <v>0</v>
      </c>
      <c r="K10" s="4">
        <f>IF(
OR(
D10 &lt; VLOOKUP("IMC Normal",Referencias!A:C,2,FALSE),
D10 &gt; VLOOKUP("IMC Normal",Referencias!A:C,3,FALSE)
),
1,
0
)</f>
        <v>1</v>
      </c>
      <c r="L10" t="str">
        <f>IF(
OR(Registro_Triage!H10="",Registro_Triage!I10=""),
"",
IF(
OR(Registro_Triage!H10="M",Registro_Triage!H10="Masculino"),
IF(Registro_Triage!I10&lt;0.94,"Normal",
IF(Registro_Triage!I10&lt;1.02,"Riesgo aumentado","Alto riesgo")),
IF(
OR(Registro_Triage!H10="F",Registro_Triage!H10="Femenino"),
IF(Registro_Triage!I10&lt;0.8,"Normal",
IF(Registro_Triage!I10&lt;=0.88,"Riesgo aumentado","Alto riesgo")),
""
)
))</f>
        <v>Normal</v>
      </c>
    </row>
    <row r="11" spans="1:12" x14ac:dyDescent="0.25">
      <c r="A11">
        <f>Tabla_Triage[[#This Row],[ID Paciente]]</f>
        <v>39852147</v>
      </c>
      <c r="B11" s="1">
        <f>Tabla_Triage[[#This Row],[Fecha]]</f>
        <v>45664</v>
      </c>
      <c r="C11" s="1" t="str">
        <f>Tabla_Triage[[#This Row],[Sexo]]</f>
        <v>F</v>
      </c>
      <c r="D11" s="8">
        <f>IFERROR(Registro_Triage!E11/(Registro_Triage!F11^2),"")</f>
        <v>21.513858510523864</v>
      </c>
      <c r="E11" s="9" t="str">
        <f t="shared" si="2"/>
        <v>Normal</v>
      </c>
      <c r="F11" s="11">
        <f>IF(COUNT(Registro_Triage!J11, Registro_Triage!L11)=0, "", AVERAGE(Registro_Triage!J11, Registro_Triage!L11))</f>
        <v>113.5</v>
      </c>
      <c r="G11" s="11">
        <f>IF(COUNT(Registro_Triage!K11, Registro_Triage!M11)=0, "", AVERAGE(Registro_Triage!K11, Registro_Triage!M11))</f>
        <v>73</v>
      </c>
      <c r="H11" s="13" t="str">
        <f t="shared" si="0"/>
        <v>BAJO</v>
      </c>
      <c r="I11" s="13" t="str">
        <f>IF(OR(Registro_Triage!P11="", NOT(ISNUMBER(Registro_Triage!P11*1))), "", IF(Registro_Triage!P11*1 &lt; VLOOKUP("Saturación O2 Normal", Referencias!$A:$C, 2, 0), "ALTO", "NORMAL"))</f>
        <v>NORMAL</v>
      </c>
      <c r="J11" s="4">
        <f>IF(
OR(
F11 &gt; VLOOKUP("Presión Sistólica Normal",Referencias!A:C,3,FALSE),
G11 &gt; VLOOKUP("Presión Diastólica Normal",Referencias!A:C,3,FALSE)
),
1,
0
)</f>
        <v>0</v>
      </c>
      <c r="K11" s="4">
        <f>IF(
OR(
D11 &lt; VLOOKUP("IMC Normal",Referencias!A:C,2,FALSE),
D11 &gt; VLOOKUP("IMC Normal",Referencias!A:C,3,FALSE)
),
1,
0
)</f>
        <v>0</v>
      </c>
      <c r="L11" t="str">
        <f>IF(
OR(Registro_Triage!H11="",Registro_Triage!I11=""),
"",
IF(
OR(Registro_Triage!H11="M",Registro_Triage!H11="Masculino"),
IF(Registro_Triage!I11&lt;0.94,"Normal",
IF(Registro_Triage!I11&lt;1.02,"Riesgo aumentado","Alto riesgo")),
IF(
OR(Registro_Triage!H11="F",Registro_Triage!H11="Femenino"),
IF(Registro_Triage!I11&lt;0.8,"Normal",
IF(Registro_Triage!I11&lt;=0.88,"Riesgo aumentado","Alto riesgo")),
""
)
))</f>
        <v>Normal</v>
      </c>
    </row>
    <row r="12" spans="1:12" x14ac:dyDescent="0.25">
      <c r="A12" s="4">
        <f>Tabla_Triage[[#This Row],[ID Paciente]]</f>
        <v>40329710</v>
      </c>
      <c r="B12" s="1">
        <f>Tabla_Triage[[#This Row],[Fecha]]</f>
        <v>46036</v>
      </c>
      <c r="C12" s="1" t="str">
        <f>Tabla_Triage[[#This Row],[Sexo]]</f>
        <v>M</v>
      </c>
      <c r="D12" s="8">
        <f>IFERROR(Registro_Triage!E12/(Registro_Triage!F12^2),"")</f>
        <v>23.629489603024574</v>
      </c>
      <c r="E12" s="9" t="str">
        <f t="shared" si="2"/>
        <v>Normal</v>
      </c>
      <c r="F12" s="11">
        <f>IF(COUNT(Registro_Triage!J12, Registro_Triage!L12)=0, "", AVERAGE(Registro_Triage!J12, Registro_Triage!L12))</f>
        <v>135</v>
      </c>
      <c r="G12" s="11">
        <f>IF(COUNT(Registro_Triage!K12, Registro_Triage!M12)=0, "", AVERAGE(Registro_Triage!K12, Registro_Triage!M12))</f>
        <v>85</v>
      </c>
      <c r="H12" s="13" t="str">
        <f>IF(
OR(I12="",J12="",K12=""),
"",
IF(
OR(I12=1,J12=1),
"ALTO",
IF(K12=1,"MEDIO","BAJO")
)
)</f>
        <v>ALTO</v>
      </c>
      <c r="I12" s="13" t="str">
        <f>IF(OR(Registro_Triage!P12="", NOT(ISNUMBER(Registro_Triage!P12*1))), "", IF(Registro_Triage!P12*1 &lt; VLOOKUP("Saturación O2 Normal", Referencias!$A:$C, 2, 0), "ALTO", "NORMAL"))</f>
        <v>NORMAL</v>
      </c>
      <c r="J12" s="4">
        <f>IF(
OR(
F12 &gt; VLOOKUP("Presión Sistólica Normal",Referencias!A:C,3,FALSE),
G12 &gt; VLOOKUP("Presión Diastólica Normal",Referencias!A:C,3,FALSE)
),
1,
0
)</f>
        <v>1</v>
      </c>
      <c r="K12" s="4">
        <f>IF(
OR(
D12 &lt; VLOOKUP("IMC Normal",Referencias!A:C,2,FALSE),
D12 &gt; VLOOKUP("IMC Normal",Referencias!A:C,3,FALSE)
),
1,
0
)</f>
        <v>0</v>
      </c>
      <c r="L12" s="4" t="str">
        <f>IF(
OR(Registro_Triage!H12="",Registro_Triage!I12=""),
"",
IF(
OR(Registro_Triage!H12="M",Registro_Triage!H12="Masculino"),
IF(Registro_Triage!I12&lt;0.94,"Normal",
IF(Registro_Triage!I12&lt;1.02,"Riesgo aumentado","Alto riesgo")),
IF(
OR(Registro_Triage!H12="F",Registro_Triage!H12="Femenino"),
IF(Registro_Triage!I12&lt;0.8,"Normal",
IF(Registro_Triage!I12&lt;=0.88,"Riesgo aumentado","Alto riesgo")),
""
)
))</f>
        <v>Normal</v>
      </c>
    </row>
    <row r="13" spans="1:12" x14ac:dyDescent="0.25">
      <c r="G13" s="12"/>
    </row>
    <row r="20" spans="8:8" x14ac:dyDescent="0.25">
      <c r="H20" s="10"/>
    </row>
  </sheetData>
  <conditionalFormatting sqref="H1:H1048576">
    <cfRule type="containsText" dxfId="20" priority="6" operator="containsText" text="BAJO">
      <formula>NOT(ISERROR(SEARCH("BAJO",H1)))</formula>
    </cfRule>
    <cfRule type="containsText" dxfId="19" priority="7" operator="containsText" text="MEDIO">
      <formula>NOT(ISERROR(SEARCH("MEDIO",H1)))</formula>
    </cfRule>
    <cfRule type="containsText" dxfId="18" priority="8" operator="containsText" text="ALTO">
      <formula>NOT(ISERROR(SEARCH("ALTO",H1)))</formula>
    </cfRule>
  </conditionalFormatting>
  <conditionalFormatting sqref="I1:I1048576">
    <cfRule type="containsText" dxfId="17" priority="4" operator="containsText" text="ALTO">
      <formula>NOT(ISERROR(SEARCH("ALTO",I1)))</formula>
    </cfRule>
    <cfRule type="containsText" dxfId="16" priority="5" operator="containsText" text="NORMAL">
      <formula>NOT(ISERROR(SEARCH("NORMAL",I1)))</formula>
    </cfRule>
  </conditionalFormatting>
  <conditionalFormatting sqref="L1:L1048576">
    <cfRule type="containsText" dxfId="15" priority="1" operator="containsText" text="Alto riesgo">
      <formula>NOT(ISERROR(SEARCH("Alto riesgo",L1)))</formula>
    </cfRule>
    <cfRule type="containsText" dxfId="14" priority="2" operator="containsText" text="Riesgo aumentado">
      <formula>NOT(ISERROR(SEARCH("Riesgo aumentado",L1)))</formula>
    </cfRule>
    <cfRule type="containsText" dxfId="13" priority="3" operator="containsText" text="Normal">
      <formula>NOT(ISERROR(SEARCH("Normal",L1)))</formula>
    </cfRule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D14" sqref="D14"/>
    </sheetView>
  </sheetViews>
  <sheetFormatPr baseColWidth="10" defaultColWidth="9.140625" defaultRowHeight="15" x14ac:dyDescent="0.25"/>
  <cols>
    <col min="1" max="1" width="25.5703125" customWidth="1"/>
    <col min="2" max="2" width="12.85546875" style="8" customWidth="1"/>
    <col min="3" max="3" width="13.28515625" style="8" customWidth="1"/>
  </cols>
  <sheetData>
    <row r="1" spans="1:3" s="5" customFormat="1" x14ac:dyDescent="0.25">
      <c r="A1" s="7" t="s">
        <v>16</v>
      </c>
      <c r="B1" s="15" t="s">
        <v>17</v>
      </c>
      <c r="C1" s="15" t="s">
        <v>18</v>
      </c>
    </row>
    <row r="2" spans="1:3" x14ac:dyDescent="0.25">
      <c r="A2" s="6" t="s">
        <v>19</v>
      </c>
      <c r="B2" s="16">
        <v>18.5</v>
      </c>
      <c r="C2" s="16">
        <v>24.9</v>
      </c>
    </row>
    <row r="3" spans="1:3" x14ac:dyDescent="0.25">
      <c r="A3" s="6" t="s">
        <v>20</v>
      </c>
      <c r="B3" s="16">
        <v>90</v>
      </c>
      <c r="C3" s="16">
        <v>120</v>
      </c>
    </row>
    <row r="4" spans="1:3" x14ac:dyDescent="0.25">
      <c r="A4" s="6" t="s">
        <v>21</v>
      </c>
      <c r="B4" s="16">
        <v>60</v>
      </c>
      <c r="C4" s="16">
        <v>80</v>
      </c>
    </row>
    <row r="5" spans="1:3" x14ac:dyDescent="0.25">
      <c r="A5" s="6" t="s">
        <v>22</v>
      </c>
      <c r="B5" s="16">
        <v>60</v>
      </c>
      <c r="C5" s="16">
        <v>100</v>
      </c>
    </row>
    <row r="6" spans="1:3" x14ac:dyDescent="0.25">
      <c r="A6" s="6" t="s">
        <v>23</v>
      </c>
      <c r="B6" s="16">
        <v>95</v>
      </c>
      <c r="C6" s="16">
        <v>100</v>
      </c>
    </row>
    <row r="7" spans="1:3" x14ac:dyDescent="0.25">
      <c r="A7" s="6" t="s">
        <v>24</v>
      </c>
      <c r="B7" s="16">
        <v>70</v>
      </c>
      <c r="C7" s="16">
        <v>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Registro_Triage</vt:lpstr>
      <vt:lpstr>Calculos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Hernán</cp:lastModifiedBy>
  <cp:lastPrinted>2026-04-22T21:56:39Z</cp:lastPrinted>
  <dcterms:created xsi:type="dcterms:W3CDTF">2026-01-02T12:01:18Z</dcterms:created>
  <dcterms:modified xsi:type="dcterms:W3CDTF">2026-04-22T21:56:50Z</dcterms:modified>
</cp:coreProperties>
</file>