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Excel\"/>
    </mc:Choice>
  </mc:AlternateContent>
  <xr:revisionPtr revIDLastSave="0" documentId="13_ncr:1_{54858184-5DEF-49E3-9DB8-009537804998}" xr6:coauthVersionLast="47" xr6:coauthVersionMax="47" xr10:uidLastSave="{00000000-0000-0000-0000-000000000000}"/>
  <bookViews>
    <workbookView xWindow="10245" yWindow="0" windowWidth="10245" windowHeight="11070" firstSheet="1" activeTab="1" xr2:uid="{00000000-000D-0000-FFFF-FFFF00000000}"/>
  </bookViews>
  <sheets>
    <sheet name="Registro_Triage" sheetId="1" r:id="rId1"/>
    <sheet name="Calculos" sheetId="2" r:id="rId2"/>
    <sheet name="Referenci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" i="2" l="1"/>
  <c r="D7" i="2" s="1"/>
  <c r="J5" i="2"/>
  <c r="B10" i="2"/>
  <c r="C10" i="2"/>
  <c r="D10" i="2" s="1"/>
  <c r="E10" i="2"/>
  <c r="F10" i="2"/>
  <c r="I10" i="2" s="1"/>
  <c r="H10" i="2"/>
  <c r="A10" i="2"/>
  <c r="H3" i="2"/>
  <c r="H4" i="2"/>
  <c r="G4" i="2" s="1"/>
  <c r="H5" i="2"/>
  <c r="H6" i="2"/>
  <c r="H7" i="2"/>
  <c r="H8" i="2"/>
  <c r="H9" i="2"/>
  <c r="G9" i="2" s="1"/>
  <c r="H2" i="2"/>
  <c r="B9" i="2"/>
  <c r="C9" i="2"/>
  <c r="D9" i="2" s="1"/>
  <c r="E9" i="2"/>
  <c r="F9" i="2"/>
  <c r="I9" i="2" s="1"/>
  <c r="A9" i="2"/>
  <c r="B8" i="2"/>
  <c r="C8" i="2"/>
  <c r="J8" i="2" s="1"/>
  <c r="E8" i="2"/>
  <c r="F8" i="2"/>
  <c r="A8" i="2"/>
  <c r="F2" i="2"/>
  <c r="F3" i="2"/>
  <c r="F4" i="2"/>
  <c r="F5" i="2"/>
  <c r="F6" i="2"/>
  <c r="F7" i="2"/>
  <c r="E2" i="2"/>
  <c r="E3" i="2"/>
  <c r="E4" i="2"/>
  <c r="I4" i="2" s="1"/>
  <c r="E5" i="2"/>
  <c r="I5" i="2" s="1"/>
  <c r="E6" i="2"/>
  <c r="E7" i="2"/>
  <c r="I7" i="2" s="1"/>
  <c r="B7" i="2"/>
  <c r="A7" i="2"/>
  <c r="C3" i="2"/>
  <c r="J3" i="2" s="1"/>
  <c r="C4" i="2"/>
  <c r="J4" i="2" s="1"/>
  <c r="C5" i="2"/>
  <c r="C6" i="2"/>
  <c r="J6" i="2" s="1"/>
  <c r="C2" i="2"/>
  <c r="D2" i="2" s="1"/>
  <c r="A3" i="2"/>
  <c r="A4" i="2"/>
  <c r="A5" i="2"/>
  <c r="A6" i="2"/>
  <c r="B2" i="2"/>
  <c r="G5" i="2" l="1"/>
  <c r="J10" i="2"/>
  <c r="G10" i="2" s="1"/>
  <c r="J9" i="2"/>
  <c r="I3" i="2"/>
  <c r="G3" i="2" s="1"/>
  <c r="I6" i="2"/>
  <c r="G6" i="2" s="1"/>
  <c r="I8" i="2"/>
  <c r="G8" i="2" s="1"/>
  <c r="D8" i="2"/>
  <c r="J7" i="2"/>
  <c r="G7" i="2" s="1"/>
  <c r="J2" i="2"/>
  <c r="I2" i="2"/>
  <c r="G2" i="2" s="1"/>
  <c r="B6" i="2"/>
  <c r="D6" i="2"/>
  <c r="A2" i="2"/>
  <c r="B5" i="2" l="1"/>
  <c r="D5" i="2"/>
  <c r="B4" i="2"/>
  <c r="D4" i="2"/>
  <c r="D3" i="2"/>
  <c r="B3" i="2"/>
</calcChain>
</file>

<file path=xl/sharedStrings.xml><?xml version="1.0" encoding="utf-8"?>
<sst xmlns="http://schemas.openxmlformats.org/spreadsheetml/2006/main" count="49" uniqueCount="45">
  <si>
    <t>Fecha</t>
  </si>
  <si>
    <t>Hora</t>
  </si>
  <si>
    <t>ID Paciente</t>
  </si>
  <si>
    <t>Nombre y Apellido</t>
  </si>
  <si>
    <t>Peso (kg)</t>
  </si>
  <si>
    <t>Talla (m)</t>
  </si>
  <si>
    <t>Perímetro Cintura (cm)</t>
  </si>
  <si>
    <t>Presión Sistólica 1</t>
  </si>
  <si>
    <t>Presión Diastólica 1</t>
  </si>
  <si>
    <t>Presión Sistólica 2</t>
  </si>
  <si>
    <t>Presión Diastólica 2</t>
  </si>
  <si>
    <t>Glucemia (mg/dl)</t>
  </si>
  <si>
    <t>Saturación O2 (%)</t>
  </si>
  <si>
    <t>IMC</t>
  </si>
  <si>
    <t>Clasificación IMC</t>
  </si>
  <si>
    <t>Presión Sistólica Promedio</t>
  </si>
  <si>
    <t>Presión Diastólica Promedio</t>
  </si>
  <si>
    <t>Parámetro</t>
  </si>
  <si>
    <t>Valor mínimo</t>
  </si>
  <si>
    <t>Valor máximo</t>
  </si>
  <si>
    <t>IMC Normal</t>
  </si>
  <si>
    <t>Presión Sistólica Normal</t>
  </si>
  <si>
    <t>Presión Diastólica Normal</t>
  </si>
  <si>
    <t>Frecuencia Cardíaca Normal</t>
  </si>
  <si>
    <t>Saturación O2 Normal</t>
  </si>
  <si>
    <t>Glucemia Ayunas</t>
  </si>
  <si>
    <t>Frecuencia Cardíaca</t>
  </si>
  <si>
    <t>Hernan Mayol</t>
  </si>
  <si>
    <t>Juan Garcia</t>
  </si>
  <si>
    <t>Pablo Romero</t>
  </si>
  <si>
    <t>Nahir Leguiza</t>
  </si>
  <si>
    <t>Ejemplo Apellido</t>
  </si>
  <si>
    <t>Observaciones/Comentarios</t>
  </si>
  <si>
    <t>No ayunó</t>
  </si>
  <si>
    <t>Se repite medición</t>
  </si>
  <si>
    <t>Paciente nervioso</t>
  </si>
  <si>
    <t>Riesgo Inicial</t>
  </si>
  <si>
    <t>ALERTA_O2</t>
  </si>
  <si>
    <t>ALERTA_Presion</t>
  </si>
  <si>
    <t>ALERTA_IMC</t>
  </si>
  <si>
    <t>Juan Perez</t>
  </si>
  <si>
    <t>Maria Gomez</t>
  </si>
  <si>
    <t>Carlos Lopez</t>
  </si>
  <si>
    <t>Pablo Ledezma</t>
  </si>
  <si>
    <t>Alta temperatura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</si>
</sst>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/mm/yyyy;@"/>
    <numFmt numFmtId="166" formatCode="0.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6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/>
    <xf numFmtId="0" fontId="1" fillId="0" borderId="0" xfId="0" applyFont="1" applyAlignment="1">
      <alignment horizontal="right"/>
    </xf>
    <xf numFmtId="2" fontId="0" fillId="0" borderId="0" xfId="0" applyNumberFormat="1"/>
    <xf numFmtId="2" fontId="0" fillId="0" borderId="0" xfId="0" applyNumberFormat="1" applyFont="1"/>
    <xf numFmtId="0" fontId="0" fillId="0" borderId="0" xfId="0" applyNumberFormat="1" applyAlignment="1">
      <alignment horizontal="right"/>
    </xf>
    <xf numFmtId="1" fontId="0" fillId="0" borderId="0" xfId="0" applyNumberFormat="1"/>
    <xf numFmtId="166" fontId="0" fillId="4" borderId="0" xfId="0" applyNumberFormat="1" applyFill="1"/>
    <xf numFmtId="166" fontId="0" fillId="3" borderId="0" xfId="0" applyNumberFormat="1" applyFill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6" formatCode="0.0"/>
    </dxf>
    <dxf>
      <numFmt numFmtId="19" formatCode="d/m/yyyy"/>
    </dxf>
    <dxf>
      <numFmt numFmtId="0" formatCode="General"/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theme="6"/>
        </patternFill>
      </fill>
    </dxf>
    <dxf>
      <fill>
        <patternFill>
          <bgColor rgb="FF92D050"/>
        </patternFill>
      </fill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alignment horizontal="right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4" formatCode="[$-F400]h:mm:ss\ AM/PM"/>
    </dxf>
    <dxf>
      <numFmt numFmtId="165" formatCode="dd/mm/yyyy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Triage" displayName="Tabla_Triage" ref="A1:O10">
  <autoFilter ref="A1:O10" xr:uid="{00000000-0009-0000-0100-000001000000}"/>
  <sortState xmlns:xlrd2="http://schemas.microsoft.com/office/spreadsheetml/2017/richdata2" ref="A2:N4">
    <sortCondition ref="A1:A4"/>
  </sortState>
  <tableColumns count="15">
    <tableColumn id="1" xr3:uid="{00000000-0010-0000-0000-000001000000}" name="Fecha" dataDxfId="27"/>
    <tableColumn id="2" xr3:uid="{00000000-0010-0000-0000-000002000000}" name="Hora" dataDxfId="26"/>
    <tableColumn id="3" xr3:uid="{00000000-0010-0000-0000-000003000000}" name="ID Paciente"/>
    <tableColumn id="4" xr3:uid="{00000000-0010-0000-0000-000004000000}" name="Nombre y Apellido" dataDxfId="25"/>
    <tableColumn id="5" xr3:uid="{00000000-0010-0000-0000-000005000000}" name="Peso (kg)"/>
    <tableColumn id="6" xr3:uid="{00000000-0010-0000-0000-000006000000}" name="Talla (m)" dataDxfId="24"/>
    <tableColumn id="7" xr3:uid="{00000000-0010-0000-0000-000007000000}" name="Perímetro Cintura (cm)" dataDxfId="23"/>
    <tableColumn id="8" xr3:uid="{00000000-0010-0000-0000-000008000000}" name="Presión Sistólica 1" dataDxfId="22"/>
    <tableColumn id="9" xr3:uid="{00000000-0010-0000-0000-000009000000}" name="Presión Sistólica 2" dataDxfId="21"/>
    <tableColumn id="10" xr3:uid="{00000000-0010-0000-0000-00000A000000}" name="Presión Diastólica 1" dataDxfId="20"/>
    <tableColumn id="11" xr3:uid="{00000000-0010-0000-0000-00000B000000}" name="Presión Diastólica 2" dataDxfId="19"/>
    <tableColumn id="12" xr3:uid="{00000000-0010-0000-0000-00000C000000}" name="Frecuencia Cardíaca" dataDxfId="18"/>
    <tableColumn id="13" xr3:uid="{00000000-0010-0000-0000-00000D000000}" name="Glucemia (mg/dl)" dataDxfId="17"/>
    <tableColumn id="14" xr3:uid="{00000000-0010-0000-0000-00000E000000}" name="Saturación O2 (%)" dataDxfId="16"/>
    <tableColumn id="15" xr3:uid="{00000000-0010-0000-0000-00000F000000}" name="Observaciones/Comentarios" dataDxfId="1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_Calculos" displayName="Tabla_Calculos" ref="A1:J10" totalsRowShown="0">
  <autoFilter ref="A1:J10" xr:uid="{00000000-0009-0000-0100-000004000000}"/>
  <tableColumns count="10">
    <tableColumn id="1" xr3:uid="{00000000-0010-0000-0100-000001000000}" name="ID Paciente" dataDxfId="9">
      <calculatedColumnFormula>Tabla_Triage[[#This Row],[ID Paciente]]</calculatedColumnFormula>
    </tableColumn>
    <tableColumn id="2" xr3:uid="{00000000-0010-0000-0100-000002000000}" name="Fecha" dataDxfId="8">
      <calculatedColumnFormula>Tabla_Triage[[#This Row],[Fecha]]</calculatedColumnFormula>
    </tableColumn>
    <tableColumn id="3" xr3:uid="{00000000-0010-0000-0100-000003000000}" name="IMC" dataDxfId="7">
      <calculatedColumnFormula>IFERROR(Registro_Triage!E2/(Registro_Triage!F2^2),"")</calculatedColumnFormula>
    </tableColumn>
    <tableColumn id="4" xr3:uid="{00000000-0010-0000-0100-000004000000}" name="Clasificación IMC" dataDxfId="6">
      <calculatedColumnFormula>IF(C2="","",IF(C2&lt;18.5,"Bajo peso",IF(C2&lt;25,"Normal",IF(C2&lt;30,"Sobrepeso","Obesidad"))))</calculatedColumnFormula>
    </tableColumn>
    <tableColumn id="5" xr3:uid="{00000000-0010-0000-0100-000005000000}" name="Presión Sistólica Promedio" dataDxfId="5">
      <calculatedColumnFormula>IF(COUNT(Registro_Triage!E2:N2)=0,"",AVERAGE(Registro_Triage!E2:N2))</calculatedColumnFormula>
    </tableColumn>
    <tableColumn id="6" xr3:uid="{00000000-0010-0000-0100-000006000000}" name="Presión Diastólica Promedio" dataDxfId="4">
      <calculatedColumnFormula>IF(COUNT(Registro_Triage!E2:N2)=0,"",AVERAGE(Registro_Triage!E2:N2))</calculatedColumnFormula>
    </tableColumn>
    <tableColumn id="7" xr3:uid="{00000000-0010-0000-0100-000007000000}" name="Riesgo Inicial" dataDxfId="3">
      <calculatedColumnFormula>IF(
OR(H2="",I2="",J2=""),
"",
IF(
OR(H2=1,I2=1),
"ALTO",
IF(J2=1,"MEDIO","BAJO")
)
)</calculatedColumnFormula>
    </tableColumn>
    <tableColumn id="8" xr3:uid="{2AA4B4F3-ACC1-459E-87D6-8904E584A3B4}" name="ALERTA_O2" dataDxfId="2">
      <calculatedColumnFormula>IF(OR(Registro_Triage!N2="", NOT(ISNUMBER(Registro_Triage!N2*1))), "", IF(Registro_Triage!N2*1 &lt; VLOOKUP("Saturación O2 Normal", Referencias!$A:$C, 2, 0), "ALTO", "NORMAL"))</calculatedColumnFormula>
    </tableColumn>
    <tableColumn id="9" xr3:uid="{F79C9761-E006-46E6-A449-D718B8CB107E}" name="ALERTA_Presion" dataDxfId="1">
      <calculatedColumnFormula>IF(
OR(
E2 &gt; VLOOKUP("Presión Sistólica Normal",Referencias!A:C,3,FALSE),
F2 &gt; VLOOKUP("Presión Diastólica Normal",Referencias!A:C,3,FALSE)
),
1,
0
)</calculatedColumnFormula>
    </tableColumn>
    <tableColumn id="10" xr3:uid="{1C56DDB5-870B-4F3E-8434-528DCB879C08}" name="ALERTA_IMC" dataDxfId="0">
      <calculatedColumnFormula>IF(
OR(
C2 &lt; VLOOKUP("IMC Normal",Referencias!A:C,2,FALSE),
C2 &gt; VLOOKUP("IMC Normal",Referencias!A:C,3,FALSE)
),
1,
0
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zoomScale="95" zoomScaleNormal="95" workbookViewId="0">
      <pane ySplit="1" topLeftCell="A2" activePane="bottomLeft" state="frozen"/>
      <selection pane="bottomLeft" activeCell="F8" sqref="F8"/>
    </sheetView>
  </sheetViews>
  <sheetFormatPr baseColWidth="10" defaultColWidth="9.140625" defaultRowHeight="15" x14ac:dyDescent="0.25"/>
  <cols>
    <col min="1" max="1" width="11" style="3" bestFit="1" customWidth="1"/>
    <col min="2" max="2" width="8.5703125" style="2" bestFit="1" customWidth="1"/>
    <col min="3" max="3" width="13.42578125" bestFit="1" customWidth="1"/>
    <col min="4" max="4" width="20.140625" style="9" customWidth="1"/>
    <col min="5" max="5" width="11.42578125" customWidth="1"/>
    <col min="6" max="6" width="11" style="12" customWidth="1"/>
    <col min="7" max="7" width="23.85546875" style="12" customWidth="1"/>
    <col min="8" max="8" width="19.28515625" style="15" customWidth="1"/>
    <col min="9" max="9" width="19.42578125" style="15" bestFit="1" customWidth="1"/>
    <col min="10" max="10" width="20.7109375" style="15" bestFit="1" customWidth="1"/>
    <col min="11" max="11" width="20.5703125" style="15" customWidth="1"/>
    <col min="12" max="12" width="26.28515625" style="15" customWidth="1"/>
    <col min="13" max="13" width="19" style="15" customWidth="1"/>
    <col min="14" max="14" width="19.28515625" style="12" customWidth="1"/>
    <col min="15" max="15" width="28.85546875" style="9" bestFit="1" customWidth="1"/>
  </cols>
  <sheetData>
    <row r="1" spans="1:15" x14ac:dyDescent="0.25">
      <c r="A1" s="3" t="s">
        <v>0</v>
      </c>
      <c r="B1" s="2" t="s">
        <v>1</v>
      </c>
      <c r="C1" t="s">
        <v>2</v>
      </c>
      <c r="D1" s="9" t="s">
        <v>3</v>
      </c>
      <c r="E1" t="s">
        <v>4</v>
      </c>
      <c r="F1" s="12" t="s">
        <v>5</v>
      </c>
      <c r="G1" s="12" t="s">
        <v>6</v>
      </c>
      <c r="H1" s="15" t="s">
        <v>7</v>
      </c>
      <c r="I1" s="15" t="s">
        <v>9</v>
      </c>
      <c r="J1" s="15" t="s">
        <v>8</v>
      </c>
      <c r="K1" s="15" t="s">
        <v>10</v>
      </c>
      <c r="L1" s="15" t="s">
        <v>26</v>
      </c>
      <c r="M1" s="15" t="s">
        <v>11</v>
      </c>
      <c r="N1" s="12" t="s">
        <v>12</v>
      </c>
      <c r="O1" s="9" t="s">
        <v>32</v>
      </c>
    </row>
    <row r="2" spans="1:15" x14ac:dyDescent="0.25">
      <c r="A2" s="3">
        <v>46024</v>
      </c>
      <c r="B2" s="2">
        <v>0.375</v>
      </c>
      <c r="C2">
        <v>42603154</v>
      </c>
      <c r="D2" s="9" t="s">
        <v>27</v>
      </c>
      <c r="E2">
        <v>80</v>
      </c>
      <c r="F2" s="12">
        <v>1.84</v>
      </c>
      <c r="G2" s="12">
        <v>0.8</v>
      </c>
      <c r="H2" s="15">
        <v>95</v>
      </c>
      <c r="I2" s="15">
        <v>100</v>
      </c>
      <c r="J2" s="15">
        <v>70</v>
      </c>
      <c r="K2" s="15">
        <v>75</v>
      </c>
      <c r="L2" s="15">
        <v>80</v>
      </c>
      <c r="M2" s="15">
        <v>75</v>
      </c>
      <c r="N2" s="12">
        <v>97</v>
      </c>
    </row>
    <row r="3" spans="1:15" x14ac:dyDescent="0.25">
      <c r="A3" s="3">
        <v>46024</v>
      </c>
      <c r="B3" s="2">
        <v>0.39583333333333331</v>
      </c>
      <c r="C3">
        <v>32634451</v>
      </c>
      <c r="D3" s="9" t="s">
        <v>29</v>
      </c>
      <c r="E3">
        <v>84</v>
      </c>
      <c r="F3" s="12">
        <v>1.81</v>
      </c>
      <c r="G3" s="12">
        <v>0.75</v>
      </c>
      <c r="H3" s="15">
        <v>83</v>
      </c>
      <c r="I3" s="15">
        <v>79</v>
      </c>
      <c r="J3" s="15">
        <v>94</v>
      </c>
      <c r="K3" s="15">
        <v>90</v>
      </c>
      <c r="L3" s="15">
        <v>95</v>
      </c>
      <c r="M3" s="15">
        <v>79</v>
      </c>
      <c r="N3" s="12">
        <v>99</v>
      </c>
      <c r="O3" s="9" t="s">
        <v>33</v>
      </c>
    </row>
    <row r="4" spans="1:15" x14ac:dyDescent="0.25">
      <c r="A4" s="3">
        <v>46025</v>
      </c>
      <c r="B4" s="2">
        <v>0.375</v>
      </c>
      <c r="C4">
        <v>44451324</v>
      </c>
      <c r="D4" s="9" t="s">
        <v>28</v>
      </c>
      <c r="E4">
        <v>90</v>
      </c>
      <c r="F4" s="12">
        <v>1.74</v>
      </c>
      <c r="G4" s="12">
        <v>0.7</v>
      </c>
      <c r="H4" s="15">
        <v>85</v>
      </c>
      <c r="I4" s="15">
        <v>70</v>
      </c>
      <c r="J4" s="15">
        <v>70</v>
      </c>
      <c r="K4" s="15">
        <v>85</v>
      </c>
      <c r="L4" s="15">
        <v>90</v>
      </c>
      <c r="N4" s="12">
        <v>95</v>
      </c>
      <c r="O4" s="9" t="s">
        <v>34</v>
      </c>
    </row>
    <row r="5" spans="1:15" x14ac:dyDescent="0.25">
      <c r="A5" s="3">
        <v>46025</v>
      </c>
      <c r="B5" s="2">
        <v>0.4375</v>
      </c>
      <c r="C5">
        <v>42451324</v>
      </c>
      <c r="D5" s="9" t="s">
        <v>30</v>
      </c>
      <c r="E5">
        <v>70</v>
      </c>
      <c r="F5" s="12">
        <v>1.75</v>
      </c>
      <c r="G5" s="12">
        <v>0.7</v>
      </c>
      <c r="H5" s="15">
        <v>89</v>
      </c>
      <c r="I5" s="15">
        <v>95</v>
      </c>
      <c r="J5" s="15">
        <v>85</v>
      </c>
      <c r="K5" s="15">
        <v>98</v>
      </c>
      <c r="L5" s="15">
        <v>97</v>
      </c>
      <c r="N5" s="12">
        <v>100</v>
      </c>
    </row>
    <row r="6" spans="1:15" x14ac:dyDescent="0.25">
      <c r="A6" s="3">
        <v>46027</v>
      </c>
      <c r="B6" s="2">
        <v>0.34027777777777773</v>
      </c>
      <c r="C6">
        <v>32461724</v>
      </c>
      <c r="D6" s="9" t="s">
        <v>31</v>
      </c>
      <c r="E6">
        <v>80</v>
      </c>
      <c r="F6" s="12">
        <v>1.81</v>
      </c>
      <c r="G6" s="12">
        <v>0.75</v>
      </c>
      <c r="H6" s="15">
        <v>120</v>
      </c>
      <c r="I6" s="15">
        <v>120</v>
      </c>
      <c r="J6" s="15">
        <v>80</v>
      </c>
      <c r="K6" s="15">
        <v>80</v>
      </c>
      <c r="L6" s="15">
        <v>90</v>
      </c>
      <c r="M6" s="15">
        <v>75</v>
      </c>
      <c r="N6" s="12">
        <v>98</v>
      </c>
      <c r="O6" s="9" t="s">
        <v>35</v>
      </c>
    </row>
    <row r="7" spans="1:15" x14ac:dyDescent="0.25">
      <c r="A7" s="3">
        <v>46028</v>
      </c>
      <c r="B7" s="2">
        <v>0.40625</v>
      </c>
      <c r="C7">
        <v>42999324</v>
      </c>
      <c r="D7" s="9" t="s">
        <v>40</v>
      </c>
      <c r="E7">
        <v>72</v>
      </c>
      <c r="F7" s="12">
        <v>1.75</v>
      </c>
      <c r="G7" s="12">
        <v>0.85</v>
      </c>
      <c r="H7" s="15">
        <v>118</v>
      </c>
      <c r="I7" s="15">
        <v>120</v>
      </c>
      <c r="J7" s="15">
        <v>78</v>
      </c>
      <c r="K7" s="15">
        <v>80</v>
      </c>
      <c r="L7" s="15">
        <v>72</v>
      </c>
      <c r="M7" s="15">
        <v>95</v>
      </c>
      <c r="N7" s="12">
        <v>98</v>
      </c>
    </row>
    <row r="8" spans="1:15" x14ac:dyDescent="0.25">
      <c r="A8" s="3">
        <v>46028</v>
      </c>
      <c r="B8" s="2">
        <v>0.4375</v>
      </c>
      <c r="C8">
        <v>30426305</v>
      </c>
      <c r="D8" s="9" t="s">
        <v>41</v>
      </c>
      <c r="E8">
        <v>82</v>
      </c>
      <c r="F8" s="12">
        <v>1.65</v>
      </c>
      <c r="G8" s="12">
        <v>0.95</v>
      </c>
      <c r="H8" s="15">
        <v>138</v>
      </c>
      <c r="I8" s="15">
        <v>142</v>
      </c>
      <c r="J8" s="15">
        <v>88</v>
      </c>
      <c r="K8" s="15">
        <v>90</v>
      </c>
      <c r="L8" s="15">
        <v>80</v>
      </c>
      <c r="M8" s="15">
        <v>110</v>
      </c>
      <c r="N8" s="12">
        <v>95</v>
      </c>
      <c r="O8" s="9" t="s">
        <v>35</v>
      </c>
    </row>
    <row r="9" spans="1:15" x14ac:dyDescent="0.25">
      <c r="A9" s="3">
        <v>46029</v>
      </c>
      <c r="B9" s="2">
        <v>0.48958333333333331</v>
      </c>
      <c r="C9">
        <v>22841369</v>
      </c>
      <c r="D9" s="9" t="s">
        <v>42</v>
      </c>
      <c r="E9">
        <v>95</v>
      </c>
      <c r="F9" s="12">
        <v>1.7</v>
      </c>
      <c r="G9" s="12">
        <v>1.05</v>
      </c>
      <c r="H9" s="15">
        <v>165</v>
      </c>
      <c r="I9" s="15">
        <v>170</v>
      </c>
      <c r="J9" s="15">
        <v>102</v>
      </c>
      <c r="K9" s="15">
        <v>104</v>
      </c>
      <c r="L9" s="15">
        <v>96</v>
      </c>
      <c r="M9" s="15">
        <v>160</v>
      </c>
      <c r="N9" s="12">
        <v>89</v>
      </c>
      <c r="O9" s="9" t="s">
        <v>34</v>
      </c>
    </row>
    <row r="10" spans="1:15" x14ac:dyDescent="0.25">
      <c r="A10" s="3">
        <v>45664</v>
      </c>
      <c r="B10" s="2">
        <v>0.51041666666666663</v>
      </c>
      <c r="C10">
        <v>22123456</v>
      </c>
      <c r="D10" s="9" t="s">
        <v>43</v>
      </c>
      <c r="E10">
        <v>85</v>
      </c>
      <c r="F10" s="12">
        <v>1.7</v>
      </c>
      <c r="G10" s="12">
        <v>0.85</v>
      </c>
      <c r="H10" s="15">
        <v>95</v>
      </c>
      <c r="I10" s="15">
        <v>115</v>
      </c>
      <c r="J10" s="15">
        <v>65</v>
      </c>
      <c r="K10" s="15">
        <v>75</v>
      </c>
      <c r="L10" s="15">
        <v>80</v>
      </c>
      <c r="M10" s="15">
        <v>110</v>
      </c>
      <c r="N10" s="12">
        <v>94</v>
      </c>
      <c r="O10" s="9" t="s">
        <v>44</v>
      </c>
    </row>
  </sheetData>
  <phoneticPr fontId="2" type="noConversion"/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tabSelected="1" zoomScaleNormal="100" workbookViewId="0">
      <pane ySplit="1" topLeftCell="A2" activePane="bottomLeft" state="frozen"/>
      <selection activeCell="B1" sqref="B1"/>
      <selection pane="bottomLeft" activeCell="D4" sqref="D4"/>
    </sheetView>
  </sheetViews>
  <sheetFormatPr baseColWidth="10" defaultColWidth="9.140625" defaultRowHeight="15" x14ac:dyDescent="0.25"/>
  <cols>
    <col min="1" max="1" width="13.140625" customWidth="1"/>
    <col min="2" max="2" width="8.7109375" style="1" customWidth="1"/>
    <col min="3" max="3" width="11.85546875" style="8" customWidth="1"/>
    <col min="4" max="4" width="16.140625" style="9" bestFit="1" customWidth="1"/>
    <col min="5" max="5" width="26.7109375" style="12" customWidth="1"/>
    <col min="6" max="6" width="28" style="12" customWidth="1"/>
    <col min="7" max="7" width="14.85546875" style="9" bestFit="1" customWidth="1"/>
    <col min="8" max="8" width="15.85546875" bestFit="1" customWidth="1"/>
    <col min="9" max="9" width="17.5703125" bestFit="1" customWidth="1"/>
    <col min="10" max="10" width="15.85546875" bestFit="1" customWidth="1"/>
  </cols>
  <sheetData>
    <row r="1" spans="1:10" x14ac:dyDescent="0.25">
      <c r="A1" t="s">
        <v>2</v>
      </c>
      <c r="B1" s="1" t="s">
        <v>0</v>
      </c>
      <c r="C1" s="8" t="s">
        <v>13</v>
      </c>
      <c r="D1" s="9" t="s">
        <v>14</v>
      </c>
      <c r="E1" s="12" t="s">
        <v>15</v>
      </c>
      <c r="F1" s="12" t="s">
        <v>16</v>
      </c>
      <c r="G1" s="10" t="s">
        <v>36</v>
      </c>
      <c r="H1" s="10" t="s">
        <v>37</v>
      </c>
      <c r="I1" s="10" t="s">
        <v>38</v>
      </c>
      <c r="J1" s="10" t="s">
        <v>39</v>
      </c>
    </row>
    <row r="2" spans="1:10" x14ac:dyDescent="0.25">
      <c r="A2">
        <f>Tabla_Triage[[#This Row],[ID Paciente]]</f>
        <v>42603154</v>
      </c>
      <c r="B2" s="1">
        <f>Tabla_Triage[[#This Row],[Fecha]]</f>
        <v>46024</v>
      </c>
      <c r="C2" s="8">
        <f>IFERROR(Registro_Triage!E2/(Registro_Triage!F2^2),"")</f>
        <v>23.629489603024574</v>
      </c>
      <c r="D2" s="9" t="str">
        <f>IF(C2="","",IF(C2&lt;18.5,"Bajo peso",IF(C2&lt;25,"Normal",IF(C2&lt;30,"Sobrepeso","Obesidad"))))</f>
        <v>Normal</v>
      </c>
      <c r="E2" s="12">
        <f>IF(COUNT(Registro_Triage!E2:N2)=0,"",AVERAGE(Registro_Triage!E2:N2))</f>
        <v>67.463999999999999</v>
      </c>
      <c r="F2" s="12">
        <f>IF(COUNT(Registro_Triage!E2:N2)=0,"",AVERAGE(Registro_Triage!E2:N2))</f>
        <v>67.463999999999999</v>
      </c>
      <c r="G2" s="9" t="str">
        <f>IF(
OR(H2="",I2="",J2=""),
"",
IF(
OR(H2=1,I2=1),
"ALTO",
IF(J2=1,"MEDIO","BAJO")
)
)</f>
        <v>BAJO</v>
      </c>
      <c r="H2" t="str">
        <f>IF(OR(Registro_Triage!N2="", NOT(ISNUMBER(Registro_Triage!N2*1))), "", IF(Registro_Triage!N2*1 &lt; VLOOKUP("Saturación O2 Normal", Referencias!$A:$C, 2, 0), "ALTO", "NORMAL"))</f>
        <v>NORMAL</v>
      </c>
      <c r="I2">
        <f>IF(
OR(
E2 &gt; VLOOKUP("Presión Sistólica Normal",Referencias!A:C,3,FALSE),
F2 &gt; VLOOKUP("Presión Diastólica Normal",Referencias!A:C,3,FALSE)
),
1,
0
)</f>
        <v>0</v>
      </c>
      <c r="J2">
        <f>IF(
OR(
C2 &lt; VLOOKUP("IMC Normal",Referencias!A:C,2,FALSE),
C2 &gt; VLOOKUP("IMC Normal",Referencias!A:C,3,FALSE)
),
1,
0
)</f>
        <v>0</v>
      </c>
    </row>
    <row r="3" spans="1:10" x14ac:dyDescent="0.25">
      <c r="A3">
        <f>Tabla_Triage[[#This Row],[ID Paciente]]</f>
        <v>32634451</v>
      </c>
      <c r="B3" s="1">
        <f>Tabla_Triage[[#This Row],[Fecha]]</f>
        <v>46024</v>
      </c>
      <c r="C3" s="8">
        <f>IFERROR(Registro_Triage!E3/(Registro_Triage!F3^2),"")</f>
        <v>25.640242971826257</v>
      </c>
      <c r="D3" s="9" t="str">
        <f t="shared" ref="D3:D6" si="0">IF(C3="","",IF(C3&lt;18.5,"Bajo peso",IF(C3&lt;25,"Normal",IF(C3&lt;30,"Sobrepeso","Obesidad"))))</f>
        <v>Sobrepeso</v>
      </c>
      <c r="E3" s="12">
        <f>IF(COUNT(Registro_Triage!E3:N3)=0,"",AVERAGE(Registro_Triage!E3:N3))</f>
        <v>70.555999999999997</v>
      </c>
      <c r="F3" s="12">
        <f>IF(COUNT(Registro_Triage!E3:N3)=0,"",AVERAGE(Registro_Triage!E3:N3))</f>
        <v>70.555999999999997</v>
      </c>
      <c r="G3" s="9" t="str">
        <f t="shared" ref="G3:G9" si="1">IF(
OR(H3="",I3="",J3=""),
"",
IF(
OR(H3=1,I3=1),
"ALTO",
IF(J3=1,"MEDIO","BAJO")
)
)</f>
        <v>MEDIO</v>
      </c>
      <c r="H3" t="str">
        <f>IF(OR(Registro_Triage!N3="", NOT(ISNUMBER(Registro_Triage!N3*1))), "", IF(Registro_Triage!N3*1 &lt; VLOOKUP("Saturación O2 Normal", Referencias!$A:$C, 2, 0), "ALTO", "NORMAL"))</f>
        <v>NORMAL</v>
      </c>
      <c r="I3">
        <f>IF(
OR(
E3 &gt; VLOOKUP("Presión Sistólica Normal",Referencias!A:C,3,FALSE),
F3 &gt; VLOOKUP("Presión Diastólica Normal",Referencias!A:C,3,FALSE)
),
1,
0
)</f>
        <v>0</v>
      </c>
      <c r="J3">
        <f>IF(
OR(
C3 &lt; VLOOKUP("IMC Normal",Referencias!A:C,2,FALSE),
C3 &gt; VLOOKUP("IMC Normal",Referencias!A:C,3,FALSE)
),
1,
0
)</f>
        <v>1</v>
      </c>
    </row>
    <row r="4" spans="1:10" x14ac:dyDescent="0.25">
      <c r="A4">
        <f>Tabla_Triage[[#This Row],[ID Paciente]]</f>
        <v>44451324</v>
      </c>
      <c r="B4" s="1">
        <f>Tabla_Triage[[#This Row],[Fecha]]</f>
        <v>46025</v>
      </c>
      <c r="C4" s="8">
        <f>IFERROR(Registro_Triage!E4/(Registro_Triage!F4^2),"")</f>
        <v>29.726516052318669</v>
      </c>
      <c r="D4" s="9" t="str">
        <f t="shared" si="0"/>
        <v>Sobrepeso</v>
      </c>
      <c r="E4" s="12">
        <f>IF(COUNT(Registro_Triage!E4:N4)=0,"",AVERAGE(Registro_Triage!E4:N4))</f>
        <v>65.271111111111111</v>
      </c>
      <c r="F4" s="12">
        <f>IF(COUNT(Registro_Triage!E4:N4)=0,"",AVERAGE(Registro_Triage!E4:N4))</f>
        <v>65.271111111111111</v>
      </c>
      <c r="G4" s="9" t="str">
        <f t="shared" si="1"/>
        <v>MEDIO</v>
      </c>
      <c r="H4" t="str">
        <f>IF(OR(Registro_Triage!N4="", NOT(ISNUMBER(Registro_Triage!N4*1))), "", IF(Registro_Triage!N4*1 &lt; VLOOKUP("Saturación O2 Normal", Referencias!$A:$C, 2, 0), "ALTO", "NORMAL"))</f>
        <v>NORMAL</v>
      </c>
      <c r="I4">
        <f>IF(
OR(
E4 &gt; VLOOKUP("Presión Sistólica Normal",Referencias!A:C,3,FALSE),
F4 &gt; VLOOKUP("Presión Diastólica Normal",Referencias!A:C,3,FALSE)
),
1,
0
)</f>
        <v>0</v>
      </c>
      <c r="J4">
        <f>IF(
OR(
C4 &lt; VLOOKUP("IMC Normal",Referencias!A:C,2,FALSE),
C4 &gt; VLOOKUP("IMC Normal",Referencias!A:C,3,FALSE)
),
1,
0
)</f>
        <v>1</v>
      </c>
    </row>
    <row r="5" spans="1:10" x14ac:dyDescent="0.25">
      <c r="A5">
        <f>Tabla_Triage[[#This Row],[ID Paciente]]</f>
        <v>42451324</v>
      </c>
      <c r="B5" s="1">
        <f>Tabla_Triage[[#This Row],[Fecha]]</f>
        <v>46025</v>
      </c>
      <c r="C5" s="8">
        <f>IFERROR(Registro_Triage!E5/(Registro_Triage!F5^2),"")</f>
        <v>22.857142857142858</v>
      </c>
      <c r="D5" s="9" t="str">
        <f t="shared" si="0"/>
        <v>Normal</v>
      </c>
      <c r="E5" s="12">
        <f>IF(COUNT(Registro_Triage!E5:N5)=0,"",AVERAGE(Registro_Triage!E5:N5))</f>
        <v>70.716666666666669</v>
      </c>
      <c r="F5" s="12">
        <f>IF(COUNT(Registro_Triage!E5:N5)=0,"",AVERAGE(Registro_Triage!E5:N5))</f>
        <v>70.716666666666669</v>
      </c>
      <c r="G5" s="9" t="str">
        <f t="shared" si="1"/>
        <v>BAJO</v>
      </c>
      <c r="H5" t="str">
        <f>IF(OR(Registro_Triage!N5="", NOT(ISNUMBER(Registro_Triage!N5*1))), "", IF(Registro_Triage!N5*1 &lt; VLOOKUP("Saturación O2 Normal", Referencias!$A:$C, 2, 0), "ALTO", "NORMAL"))</f>
        <v>NORMAL</v>
      </c>
      <c r="I5">
        <f>IF(
OR(
E5 &gt; VLOOKUP("Presión Sistólica Normal",Referencias!A:C,3,FALSE),
F5 &gt; VLOOKUP("Presión Diastólica Normal",Referencias!A:C,3,FALSE)
),
1,
0
)</f>
        <v>0</v>
      </c>
      <c r="J5">
        <f>IF(
OR(
C5 &lt; VLOOKUP("IMC Normal",Referencias!A:C,2,FALSE),
C5 &gt; VLOOKUP("IMC Normal",Referencias!A:C,3,FALSE)
),
1,
0
)</f>
        <v>0</v>
      </c>
    </row>
    <row r="6" spans="1:10" x14ac:dyDescent="0.25">
      <c r="A6">
        <f>Tabla_Triage[[#This Row],[ID Paciente]]</f>
        <v>32461724</v>
      </c>
      <c r="B6" s="1">
        <f>Tabla_Triage[[#This Row],[Fecha]]</f>
        <v>46027</v>
      </c>
      <c r="C6" s="8">
        <f>IFERROR(Registro_Triage!E6/(Registro_Triage!F6^2),"")</f>
        <v>24.419279020786909</v>
      </c>
      <c r="D6" s="9" t="str">
        <f t="shared" si="0"/>
        <v>Normal</v>
      </c>
      <c r="E6" s="12">
        <f>IF(COUNT(Registro_Triage!E6:N6)=0,"",AVERAGE(Registro_Triage!E6:N6))</f>
        <v>74.555999999999997</v>
      </c>
      <c r="F6" s="12">
        <f>IF(COUNT(Registro_Triage!E6:N6)=0,"",AVERAGE(Registro_Triage!E6:N6))</f>
        <v>74.555999999999997</v>
      </c>
      <c r="G6" s="9" t="str">
        <f t="shared" si="1"/>
        <v>BAJO</v>
      </c>
      <c r="H6" t="str">
        <f>IF(OR(Registro_Triage!N6="", NOT(ISNUMBER(Registro_Triage!N6*1))), "", IF(Registro_Triage!N6*1 &lt; VLOOKUP("Saturación O2 Normal", Referencias!$A:$C, 2, 0), "ALTO", "NORMAL"))</f>
        <v>NORMAL</v>
      </c>
      <c r="I6">
        <f>IF(
OR(
E6 &gt; VLOOKUP("Presión Sistólica Normal",Referencias!A:C,3,FALSE),
F6 &gt; VLOOKUP("Presión Diastólica Normal",Referencias!A:C,3,FALSE)
),
1,
0
)</f>
        <v>0</v>
      </c>
      <c r="J6">
        <f>IF(
OR(
C6 &lt; VLOOKUP("IMC Normal",Referencias!A:C,2,FALSE),
C6 &gt; VLOOKUP("IMC Normal",Referencias!A:C,3,FALSE)
),
1,
0
)</f>
        <v>0</v>
      </c>
    </row>
    <row r="7" spans="1:10" x14ac:dyDescent="0.25">
      <c r="A7">
        <f>Tabla_Triage[[#This Row],[ID Paciente]]</f>
        <v>42999324</v>
      </c>
      <c r="B7" s="1">
        <f>Tabla_Triage[[#This Row],[Fecha]]</f>
        <v>46028</v>
      </c>
      <c r="C7" s="8">
        <f>IFERROR(Registro_Triage!E7/(Registro_Triage!F7^2),"")</f>
        <v>23.510204081632654</v>
      </c>
      <c r="D7" s="9" t="str">
        <f>IF(C7="","",IF(C7&lt;18.5,"Bajo peso",IF(C7&lt;25,"Normal",IF(C7&lt;30,"Sobrepeso","Obesidad"))))</f>
        <v>Normal</v>
      </c>
      <c r="E7" s="12">
        <f>IF(COUNT(Registro_Triage!E7:N7)=0,"",AVERAGE(Registro_Triage!E7:N7))</f>
        <v>73.56</v>
      </c>
      <c r="F7" s="12">
        <f>IF(COUNT(Registro_Triage!E7:N7)=0,"",AVERAGE(Registro_Triage!E7:N7))</f>
        <v>73.56</v>
      </c>
      <c r="G7" s="9" t="str">
        <f t="shared" si="1"/>
        <v>BAJO</v>
      </c>
      <c r="H7" t="str">
        <f>IF(OR(Registro_Triage!N7="", NOT(ISNUMBER(Registro_Triage!N7*1))), "", IF(Registro_Triage!N7*1 &lt; VLOOKUP("Saturación O2 Normal", Referencias!$A:$C, 2, 0), "ALTO", "NORMAL"))</f>
        <v>NORMAL</v>
      </c>
      <c r="I7">
        <f>IF(
OR(
E7 &gt; VLOOKUP("Presión Sistólica Normal",Referencias!A:C,3,FALSE),
F7 &gt; VLOOKUP("Presión Diastólica Normal",Referencias!A:C,3,FALSE)
),
1,
0
)</f>
        <v>0</v>
      </c>
      <c r="J7">
        <f>IF(
OR(
C7 &lt; VLOOKUP("IMC Normal",Referencias!A:C,2,FALSE),
C7 &gt; VLOOKUP("IMC Normal",Referencias!A:C,3,FALSE)
),
1,
0
)</f>
        <v>0</v>
      </c>
    </row>
    <row r="8" spans="1:10" x14ac:dyDescent="0.25">
      <c r="A8">
        <f>Tabla_Triage[[#This Row],[ID Paciente]]</f>
        <v>30426305</v>
      </c>
      <c r="B8" s="1">
        <f>Tabla_Triage[[#This Row],[Fecha]]</f>
        <v>46028</v>
      </c>
      <c r="C8" s="8">
        <f>IFERROR(Registro_Triage!E8/(Registro_Triage!F8^2),"")</f>
        <v>30.119375573921033</v>
      </c>
      <c r="D8" s="9" t="str">
        <f>IF(C8="","",IF(C8&lt;18.5,"Bajo peso",IF(C8&lt;25,"Normal",IF(C8&lt;30,"Sobrepeso","Obesidad"))))</f>
        <v>Obesidad</v>
      </c>
      <c r="E8" s="12">
        <f>IF(COUNT(Registro_Triage!E8:N8)=0,"",AVERAGE(Registro_Triage!E8:N8))</f>
        <v>82.76</v>
      </c>
      <c r="F8" s="12">
        <f>IF(COUNT(Registro_Triage!E8:N8)=0,"",AVERAGE(Registro_Triage!E8:N8))</f>
        <v>82.76</v>
      </c>
      <c r="G8" s="9" t="str">
        <f t="shared" si="1"/>
        <v>ALTO</v>
      </c>
      <c r="H8" t="str">
        <f>IF(OR(Registro_Triage!N8="", NOT(ISNUMBER(Registro_Triage!N8*1))), "", IF(Registro_Triage!N8*1 &lt; VLOOKUP("Saturación O2 Normal", Referencias!$A:$C, 2, 0), "ALTO", "NORMAL"))</f>
        <v>NORMAL</v>
      </c>
      <c r="I8" s="4">
        <f>IF(
OR(
E8 &gt; VLOOKUP("Presión Sistólica Normal",Referencias!A:C,3,FALSE),
F8 &gt; VLOOKUP("Presión Diastólica Normal",Referencias!A:C,3,FALSE)
),
1,
0
)</f>
        <v>1</v>
      </c>
      <c r="J8" s="4">
        <f>IF(
OR(
C8 &lt; VLOOKUP("IMC Normal",Referencias!A:C,2,FALSE),
C8 &gt; VLOOKUP("IMC Normal",Referencias!A:C,3,FALSE)
),
1,
0
)</f>
        <v>1</v>
      </c>
    </row>
    <row r="9" spans="1:10" x14ac:dyDescent="0.25">
      <c r="A9">
        <f>Tabla_Triage[[#This Row],[ID Paciente]]</f>
        <v>22841369</v>
      </c>
      <c r="B9" s="1">
        <f>Tabla_Triage[[#This Row],[Fecha]]</f>
        <v>46029</v>
      </c>
      <c r="C9" s="8">
        <f>IFERROR(Registro_Triage!E9/(Registro_Triage!F9^2),"")</f>
        <v>32.871972318339104</v>
      </c>
      <c r="D9" s="9" t="str">
        <f>IF(C9="","",IF(C9&lt;18.5,"Bajo peso",IF(C9&lt;25,"Normal",IF(C9&lt;30,"Sobrepeso","Obesidad"))))</f>
        <v>Obesidad</v>
      </c>
      <c r="E9" s="12">
        <f>IF(COUNT(Registro_Triage!E9:N9)=0,"",AVERAGE(Registro_Triage!E9:N9))</f>
        <v>98.375</v>
      </c>
      <c r="F9" s="12">
        <f>IF(COUNT(Registro_Triage!E9:N9)=0,"",AVERAGE(Registro_Triage!E9:N9))</f>
        <v>98.375</v>
      </c>
      <c r="G9" s="9" t="str">
        <f t="shared" si="1"/>
        <v>ALTO</v>
      </c>
      <c r="H9" t="str">
        <f>IF(OR(Registro_Triage!N9="", NOT(ISNUMBER(Registro_Triage!N9*1))), "", IF(Registro_Triage!N9*1 &lt; VLOOKUP("Saturación O2 Normal", Referencias!$A:$C, 2, 0), "ALTO", "NORMAL"))</f>
        <v>ALTO</v>
      </c>
      <c r="I9" s="4">
        <f>IF(
OR(
E9 &gt; VLOOKUP("Presión Sistólica Normal",Referencias!A:C,3,FALSE),
F9 &gt; VLOOKUP("Presión Diastólica Normal",Referencias!A:C,3,FALSE)
),
1,
0
)</f>
        <v>1</v>
      </c>
      <c r="J9" s="4">
        <f>IF(
OR(
C9 &lt; VLOOKUP("IMC Normal",Referencias!A:C,2,FALSE),
C9 &gt; VLOOKUP("IMC Normal",Referencias!A:C,3,FALSE)
),
1,
0
)</f>
        <v>1</v>
      </c>
    </row>
    <row r="10" spans="1:10" x14ac:dyDescent="0.25">
      <c r="A10">
        <f>Tabla_Triage[[#This Row],[ID Paciente]]</f>
        <v>22123456</v>
      </c>
      <c r="B10" s="1">
        <f>Tabla_Triage[[#This Row],[Fecha]]</f>
        <v>45664</v>
      </c>
      <c r="C10" s="8">
        <f>IFERROR(Registro_Triage!E10/(Registro_Triage!F10^2),"")</f>
        <v>29.411764705882355</v>
      </c>
      <c r="D10" s="9" t="str">
        <f>IF(C10="","",IF(C10&lt;18.5,"Bajo peso",IF(C10&lt;25,"Normal",IF(C10&lt;30,"Sobrepeso","Obesidad"))))</f>
        <v>Sobrepeso</v>
      </c>
      <c r="E10" s="12">
        <f>IF(COUNT(Registro_Triage!E10:N10)=0,"",AVERAGE(Registro_Triage!E10:N10))</f>
        <v>72.155000000000001</v>
      </c>
      <c r="F10" s="12">
        <f>IF(COUNT(Registro_Triage!E10:N10)=0,"",AVERAGE(Registro_Triage!E10:N10))</f>
        <v>72.155000000000001</v>
      </c>
      <c r="G10" s="14" t="str">
        <f>IF(
OR(H10="",I10="",J10=""),
"",
IF(
OR(H10=1,I10=1),
"ALTO",
IF(J10=1,"MEDIO","BAJO")
)
)</f>
        <v>MEDIO</v>
      </c>
      <c r="H10" s="4" t="str">
        <f>IF(OR(Registro_Triage!N10="", NOT(ISNUMBER(Registro_Triage!N10*1))), "", IF(Registro_Triage!N10*1 &lt; VLOOKUP("Saturación O2 Normal", Referencias!$A:$C, 2, 0), "ALTO", "NORMAL"))</f>
        <v>ALTO</v>
      </c>
      <c r="I10" s="4">
        <f>IF(
OR(
E10 &gt; VLOOKUP("Presión Sistólica Normal",Referencias!A:C,3,FALSE),
F10 &gt; VLOOKUP("Presión Diastólica Normal",Referencias!A:C,3,FALSE)
),
1,
0
)</f>
        <v>0</v>
      </c>
      <c r="J10" s="4">
        <f>IF(
OR(
C10 &lt; VLOOKUP("IMC Normal",Referencias!A:C,2,FALSE),
C10 &gt; VLOOKUP("IMC Normal",Referencias!A:C,3,FALSE)
),
1,
0
)</f>
        <v>1</v>
      </c>
    </row>
    <row r="13" spans="1:10" x14ac:dyDescent="0.25">
      <c r="F13" s="13"/>
    </row>
    <row r="20" spans="7:7" x14ac:dyDescent="0.25">
      <c r="G20" s="11"/>
    </row>
  </sheetData>
  <conditionalFormatting sqref="G1:G1048576">
    <cfRule type="containsText" dxfId="14" priority="5" operator="containsText" text="ALTO">
      <formula>NOT(ISERROR(SEARCH("ALTO",G1)))</formula>
    </cfRule>
    <cfRule type="containsText" dxfId="13" priority="4" operator="containsText" text="MEDIO">
      <formula>NOT(ISERROR(SEARCH("MEDIO",G1)))</formula>
    </cfRule>
    <cfRule type="containsText" dxfId="12" priority="3" operator="containsText" text="BAJO">
      <formula>NOT(ISERROR(SEARCH("BAJO",G1)))</formula>
    </cfRule>
  </conditionalFormatting>
  <conditionalFormatting sqref="H1:H1048576">
    <cfRule type="containsText" dxfId="11" priority="2" operator="containsText" text="NORMAL">
      <formula>NOT(ISERROR(SEARCH("NORMAL",H1)))</formula>
    </cfRule>
    <cfRule type="containsText" dxfId="10" priority="1" operator="containsText" text="ALTO">
      <formula>NOT(ISERROR(SEARCH("ALTO",H1)))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25.5703125" customWidth="1"/>
    <col min="2" max="2" width="12.85546875" style="8" customWidth="1"/>
    <col min="3" max="3" width="13.28515625" style="8" customWidth="1"/>
  </cols>
  <sheetData>
    <row r="1" spans="1:3" s="5" customFormat="1" x14ac:dyDescent="0.25">
      <c r="A1" s="7" t="s">
        <v>17</v>
      </c>
      <c r="B1" s="16" t="s">
        <v>18</v>
      </c>
      <c r="C1" s="16" t="s">
        <v>19</v>
      </c>
    </row>
    <row r="2" spans="1:3" x14ac:dyDescent="0.25">
      <c r="A2" s="6" t="s">
        <v>20</v>
      </c>
      <c r="B2" s="17">
        <v>18.5</v>
      </c>
      <c r="C2" s="17">
        <v>24.9</v>
      </c>
    </row>
    <row r="3" spans="1:3" x14ac:dyDescent="0.25">
      <c r="A3" s="6" t="s">
        <v>21</v>
      </c>
      <c r="B3" s="17">
        <v>90</v>
      </c>
      <c r="C3" s="17">
        <v>120</v>
      </c>
    </row>
    <row r="4" spans="1:3" x14ac:dyDescent="0.25">
      <c r="A4" s="6" t="s">
        <v>22</v>
      </c>
      <c r="B4" s="17">
        <v>60</v>
      </c>
      <c r="C4" s="17">
        <v>80</v>
      </c>
    </row>
    <row r="5" spans="1:3" x14ac:dyDescent="0.25">
      <c r="A5" s="6" t="s">
        <v>23</v>
      </c>
      <c r="B5" s="17">
        <v>60</v>
      </c>
      <c r="C5" s="17">
        <v>100</v>
      </c>
    </row>
    <row r="6" spans="1:3" x14ac:dyDescent="0.25">
      <c r="A6" s="6" t="s">
        <v>24</v>
      </c>
      <c r="B6" s="17">
        <v>95</v>
      </c>
      <c r="C6" s="17">
        <v>100</v>
      </c>
    </row>
    <row r="7" spans="1:3" x14ac:dyDescent="0.25">
      <c r="A7" s="6" t="s">
        <v>25</v>
      </c>
      <c r="B7" s="17">
        <v>70</v>
      </c>
      <c r="C7" s="17">
        <v>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Registro_Triage</vt:lpstr>
      <vt:lpstr>Calculos</vt:lpstr>
      <vt:lpstr>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2026-01-02T12:01:18Z</dcterms:created>
  <dcterms:modified xsi:type="dcterms:W3CDTF">2026-01-06T14:57:22Z</dcterms:modified>
</cp:coreProperties>
</file>