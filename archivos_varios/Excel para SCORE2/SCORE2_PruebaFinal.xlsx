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D:\Users\Hernán\Desktop\Administracion HernanMayol\Python_ISSUNNE\archivos_varios\Excel para SCORE2\"/>
    </mc:Choice>
  </mc:AlternateContent>
  <xr:revisionPtr revIDLastSave="0" documentId="13_ncr:1_{61130BD3-85DD-4BE2-80BE-09E19B811BE1}" xr6:coauthVersionLast="47" xr6:coauthVersionMax="47" xr10:uidLastSave="{00000000-0000-0000-0000-000000000000}"/>
  <bookViews>
    <workbookView xWindow="-120" yWindow="-120" windowWidth="20730" windowHeight="11310" activeTab="1" xr2:uid="{00000000-000D-0000-FFFF-FFFF00000000}"/>
  </bookViews>
  <sheets>
    <sheet name="Pacientes" sheetId="1" r:id="rId1"/>
    <sheet name="Calc" sheetId="3" r:id="rId2"/>
    <sheet name="SCORE2_TABLA" sheetId="8" r:id="rId3"/>
    <sheet name="Gráficos" sheetId="7" r:id="rId4"/>
    <sheet name="ISSUNNE_Protocolo" sheetId="4" r:id="rId5"/>
    <sheet name="Lookups" sheetId="2" r:id="rId6"/>
    <sheet name="About_ISSUNNE" sheetId="5" r:id="rId7"/>
    <sheet name="About" sheetId="6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3" i="3" l="1"/>
  <c r="B9" i="3"/>
  <c r="C9" i="3"/>
  <c r="D9" i="3"/>
  <c r="E9" i="3"/>
  <c r="F9" i="3"/>
  <c r="G9" i="3"/>
  <c r="H9" i="3"/>
  <c r="I9" i="3" s="1"/>
  <c r="A9" i="3"/>
  <c r="F2" i="3"/>
  <c r="D2" i="3"/>
  <c r="E2" i="3"/>
  <c r="D3" i="3"/>
  <c r="H2" i="3"/>
  <c r="H3" i="3"/>
  <c r="H4" i="3"/>
  <c r="H5" i="3"/>
  <c r="H6" i="3"/>
  <c r="H7" i="3"/>
  <c r="H8" i="3"/>
  <c r="G2" i="3"/>
  <c r="B8" i="3"/>
  <c r="C8" i="3"/>
  <c r="D8" i="3"/>
  <c r="E8" i="3"/>
  <c r="F8" i="3"/>
  <c r="G8" i="3"/>
  <c r="A8" i="3"/>
  <c r="A10" i="4" s="1"/>
  <c r="A3" i="3"/>
  <c r="A4" i="3"/>
  <c r="A5" i="3"/>
  <c r="A6" i="3"/>
  <c r="A8" i="4" s="1"/>
  <c r="A7" i="3"/>
  <c r="A9" i="4" s="1"/>
  <c r="B7" i="3"/>
  <c r="C7" i="3"/>
  <c r="D7" i="3"/>
  <c r="E7" i="3"/>
  <c r="F7" i="3"/>
  <c r="G7" i="3"/>
  <c r="I7" i="3" s="1"/>
  <c r="G3" i="3"/>
  <c r="I3" i="3" s="1"/>
  <c r="G4" i="3"/>
  <c r="I4" i="3" s="1"/>
  <c r="G5" i="3"/>
  <c r="I5" i="3" s="1"/>
  <c r="G6" i="3"/>
  <c r="F3" i="3"/>
  <c r="F4" i="3"/>
  <c r="F5" i="3"/>
  <c r="F6" i="3"/>
  <c r="E4" i="3"/>
  <c r="E5" i="3"/>
  <c r="E6" i="3"/>
  <c r="D4" i="3"/>
  <c r="D5" i="3"/>
  <c r="D6" i="3"/>
  <c r="D3" i="7"/>
  <c r="D4" i="7"/>
  <c r="D5" i="7"/>
  <c r="D6" i="7"/>
  <c r="D2" i="7"/>
  <c r="B6" i="3"/>
  <c r="C6" i="3"/>
  <c r="I8" i="3" l="1"/>
  <c r="I6" i="3"/>
  <c r="C8" i="4" s="1"/>
  <c r="D8" i="4" s="1"/>
  <c r="I2" i="3"/>
  <c r="B9" i="4"/>
  <c r="C9" i="4"/>
  <c r="D9" i="4" s="1"/>
  <c r="B8" i="4"/>
  <c r="C10" i="4"/>
  <c r="D10" i="4" s="1"/>
  <c r="B10" i="4"/>
  <c r="H3" i="7"/>
  <c r="E5" i="7"/>
  <c r="E3" i="7"/>
  <c r="E4" i="7"/>
  <c r="H2" i="7"/>
  <c r="E6" i="7"/>
  <c r="E2" i="7"/>
  <c r="C5" i="3"/>
  <c r="B5" i="3"/>
  <c r="A7" i="4"/>
  <c r="C3" i="3"/>
  <c r="C4" i="3"/>
  <c r="C2" i="3"/>
  <c r="B2" i="3"/>
  <c r="B3" i="3"/>
  <c r="B4" i="3"/>
  <c r="A6" i="4"/>
  <c r="A5" i="4"/>
  <c r="A2" i="3"/>
  <c r="A4" i="4" s="1"/>
  <c r="B7" i="4" l="1"/>
  <c r="B3" i="7"/>
  <c r="B5" i="4"/>
  <c r="C4" i="4"/>
  <c r="D4" i="4" s="1"/>
  <c r="C6" i="4"/>
  <c r="D6" i="4" s="1"/>
  <c r="C7" i="4"/>
  <c r="D7" i="4" s="1"/>
  <c r="B4" i="4"/>
  <c r="B6" i="4"/>
  <c r="B2" i="7" l="1"/>
  <c r="B4" i="7"/>
  <c r="C5" i="4"/>
  <c r="D5" i="4" s="1"/>
</calcChain>
</file>

<file path=xl/sharedStrings.xml><?xml version="1.0" encoding="utf-8"?>
<sst xmlns="http://schemas.openxmlformats.org/spreadsheetml/2006/main" count="107" uniqueCount="64">
  <si>
    <t>ID</t>
  </si>
  <si>
    <t>Edad</t>
  </si>
  <si>
    <t>Sexo</t>
  </si>
  <si>
    <t>PAS</t>
  </si>
  <si>
    <t>Col_Total_mg</t>
  </si>
  <si>
    <t>HDL_mg</t>
  </si>
  <si>
    <t>Region</t>
  </si>
  <si>
    <t>Hombre</t>
  </si>
  <si>
    <t>No</t>
  </si>
  <si>
    <t>Mujer</t>
  </si>
  <si>
    <t>Sí</t>
  </si>
  <si>
    <t>Categoria</t>
  </si>
  <si>
    <t>Conducta</t>
  </si>
  <si>
    <t>Estilo de vida saludable y control periódico</t>
  </si>
  <si>
    <t>Intervención intensiva en estilo de vida; considerar estatina</t>
  </si>
  <si>
    <t>Iniciar estatina alta intensidad y seguimiento estrecho</t>
  </si>
  <si>
    <t>TC_mmol</t>
  </si>
  <si>
    <t>HDL_mmol</t>
  </si>
  <si>
    <t>Riesgo_10y_%</t>
  </si>
  <si>
    <t>Riesgo BAJO</t>
  </si>
  <si>
    <t>Riesgo MODERADO</t>
  </si>
  <si>
    <t>Riesgo ALTO</t>
  </si>
  <si>
    <t>Tabaquismo</t>
  </si>
  <si>
    <t>P001</t>
  </si>
  <si>
    <t>P002</t>
  </si>
  <si>
    <t>P003</t>
  </si>
  <si>
    <t>P004</t>
  </si>
  <si>
    <t>MODERADO</t>
  </si>
  <si>
    <t>Modelo</t>
  </si>
  <si>
    <t>Nota ISSUNNE: SCORE2 es para prevención primaria. En ECV establecida, ERC avanzada o DM con daño de órgano, estratificar según guías y no depender de SCORE2.</t>
  </si>
  <si>
    <t>Notas y alcance (ISSUNNE)</t>
  </si>
  <si>
    <t>1) Esta planilla implementa SCORE2 (40–69 años) y SCORE2-OP (≥70 años) según ESC 2021 para estimar riesgo a 10 años de eventos CV mayores (fatales y no fatales).</t>
  </si>
  <si>
    <t>2) Parámetro institucional: región por defecto = 'High'. Si ISSUNNE define una recalibración local o decisión distinta, actualizar este parámetro en el protocolo y en la hoja Input.</t>
  </si>
  <si>
    <t>3) Población objetivo: prevención primaria. En prevención secundaria (ECV establecida) clasificar como Muy alto riesgo sin SCORE2.</t>
  </si>
  <si>
    <t>4) Diabetes y otras condiciones especiales: SCORE2 no debe ser el único decisor; estratificar por guías y juicio clínico.</t>
  </si>
  <si>
    <t>5) Conversión lípidos: si se cargan mmol/L, se priorizan sobre mg/dL. Conversión colesterol: mmol/L = mg/dL / 38.67.</t>
  </si>
  <si>
    <t>Notas y fuente</t>
  </si>
  <si>
    <t>Esta planilla implementa la ecuación publicada para SCORE2 (40–69 años) y SCORE2-OP (≥70 años), con recalibración por regiones de riesgo Europeas (Low, Moderate, High, Very high).</t>
  </si>
  <si>
    <t>Entradas de lípidos: puede ingresar en mg/dL o en mmol/L (si completa mmol/L se ignoran mg/dL). Conversión usada: mmol/L = mg/dL / 38.67 para colesterol.</t>
  </si>
  <si>
    <t>Advertencia: SCORE2 fue diseñado para población sin diabetes; si se usa con diabetes, el resultado puede no estar validado para esa población.</t>
  </si>
  <si>
    <t>Clasificación de riesgo en esta hoja sigue los umbrales por edad usados en implementaciones clínicas; puede adaptarse a su protocolo institucional si usan categorías distintas.</t>
  </si>
  <si>
    <t>Implementación basada en el código abierto del paquete R 'RiskScorescvd' (función SCORE2) y en los artículos SCORE2/SCORE2-OP de ESC Cardiovascular Risk Collaboration.</t>
  </si>
  <si>
    <t>ISSUNNE – SCORE2 / SCORE2-OP (ESC 2021) – Calculadora para protocolo institucional</t>
  </si>
  <si>
    <t>Categoría</t>
  </si>
  <si>
    <t>Cantidad de pacientes</t>
  </si>
  <si>
    <t>P005</t>
  </si>
  <si>
    <t>Si</t>
  </si>
  <si>
    <t>Riesgo 10 años(%)</t>
  </si>
  <si>
    <t>Riesgo promedio(%)</t>
  </si>
  <si>
    <t>Fumador</t>
  </si>
  <si>
    <t>Riesgo_%</t>
  </si>
  <si>
    <t>M</t>
  </si>
  <si>
    <t>F</t>
  </si>
  <si>
    <t>Edad_SCORE</t>
  </si>
  <si>
    <t>PAS_SCORE</t>
  </si>
  <si>
    <t>noHDL_SCORE</t>
  </si>
  <si>
    <t>SCORE2</t>
  </si>
  <si>
    <t>P006</t>
  </si>
  <si>
    <t>P007</t>
  </si>
  <si>
    <t>SCORE2-OP</t>
  </si>
  <si>
    <t>LDL_mg</t>
  </si>
  <si>
    <t>P008</t>
  </si>
  <si>
    <t>MUY ALTO</t>
  </si>
  <si>
    <t>Riesgo Bajo-moderado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</si>
</sst>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9"/>
      <color rgb="FF555555"/>
      <name val="Calibri"/>
      <family val="2"/>
    </font>
    <font>
      <b/>
      <sz val="11"/>
      <color rgb="FFFFFFFF"/>
      <name val="Calibri"/>
      <family val="2"/>
    </font>
    <font>
      <b/>
      <sz val="18"/>
      <color theme="4" tint="-0.499984740745262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/>
    <xf numFmtId="0" fontId="4" fillId="3" borderId="0" xfId="0" applyFont="1" applyFill="1"/>
    <xf numFmtId="0" fontId="0" fillId="3" borderId="0" xfId="0" applyFill="1"/>
    <xf numFmtId="0" fontId="4" fillId="4" borderId="0" xfId="0" applyFont="1" applyFill="1"/>
    <xf numFmtId="0" fontId="0" fillId="4" borderId="0" xfId="0" applyFill="1"/>
    <xf numFmtId="0" fontId="0" fillId="0" borderId="0" xfId="0" applyNumberForma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6" fillId="0" borderId="0" xfId="0" applyFont="1"/>
    <xf numFmtId="0" fontId="2" fillId="0" borderId="0" xfId="0" applyFont="1" applyAlignment="1">
      <alignment horizontal="left" vertical="center" wrapText="1"/>
    </xf>
    <xf numFmtId="0" fontId="0" fillId="0" borderId="0" xfId="0"/>
    <xf numFmtId="0" fontId="0" fillId="0" borderId="0" xfId="0" applyAlignment="1">
      <alignment horizontal="left" vertical="center" wrapText="1"/>
    </xf>
    <xf numFmtId="0" fontId="3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11"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>
          <bgColor theme="6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u="sng"/>
              <a:t>Distribución</a:t>
            </a:r>
            <a:r>
              <a:rPr lang="en-US" b="1" u="sng" baseline="0"/>
              <a:t> de Riesgo Cardiovascular</a:t>
            </a:r>
            <a:endParaRPr lang="en-US" b="1" u="sn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5.8928258967629044E-2"/>
          <c:y val="0.19486111111111112"/>
          <c:w val="0.8966272965879265"/>
          <c:h val="0.72088764946048411"/>
        </c:manualLayout>
      </c:layout>
      <c:bar3DChart>
        <c:barDir val="col"/>
        <c:grouping val="stacked"/>
        <c:varyColors val="0"/>
        <c:ser>
          <c:idx val="0"/>
          <c:order val="0"/>
          <c:tx>
            <c:strRef>
              <c:f>Gráficos!$B$1</c:f>
              <c:strCache>
                <c:ptCount val="1"/>
                <c:pt idx="0">
                  <c:v>Cantidad de pacientes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dPt>
            <c:idx val="1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1-EF0A-459D-AE7B-44CE89D08957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2-EF0A-459D-AE7B-44CE89D08957}"/>
              </c:ext>
            </c:extLst>
          </c:dPt>
          <c:cat>
            <c:strRef>
              <c:f>Gráficos!$A$2:$A$4</c:f>
              <c:strCache>
                <c:ptCount val="3"/>
                <c:pt idx="0">
                  <c:v>Riesgo BAJO</c:v>
                </c:pt>
                <c:pt idx="1">
                  <c:v>Riesgo MODERADO</c:v>
                </c:pt>
                <c:pt idx="2">
                  <c:v>Riesgo ALTO</c:v>
                </c:pt>
              </c:strCache>
            </c:strRef>
          </c:cat>
          <c:val>
            <c:numRef>
              <c:f>Gráficos!$B$2:$B$4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0A-459D-AE7B-44CE89D089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89970720"/>
        <c:axId val="1203031184"/>
        <c:axId val="0"/>
      </c:bar3DChart>
      <c:catAx>
        <c:axId val="1189970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203031184"/>
        <c:crosses val="autoZero"/>
        <c:auto val="1"/>
        <c:lblAlgn val="ctr"/>
        <c:lblOffset val="100"/>
        <c:noMultiLvlLbl val="0"/>
      </c:catAx>
      <c:valAx>
        <c:axId val="1203031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1899707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Riesgo Cardiovascular</a:t>
            </a:r>
          </a:p>
          <a:p>
            <a:pPr>
              <a:defRPr/>
            </a:pPr>
            <a:r>
              <a:rPr lang="en-US"/>
              <a:t> 10 años(%)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Gráficos!$E$1</c:f>
              <c:strCache>
                <c:ptCount val="1"/>
                <c:pt idx="0">
                  <c:v>Riesgo 10 años(%)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Gráficos!$D$2:$D$6</c:f>
              <c:numCache>
                <c:formatCode>General</c:formatCode>
                <c:ptCount val="5"/>
                <c:pt idx="0">
                  <c:v>81</c:v>
                </c:pt>
                <c:pt idx="1">
                  <c:v>58</c:v>
                </c:pt>
                <c:pt idx="2">
                  <c:v>67</c:v>
                </c:pt>
                <c:pt idx="3">
                  <c:v>42</c:v>
                </c:pt>
                <c:pt idx="4">
                  <c:v>55</c:v>
                </c:pt>
              </c:numCache>
            </c:numRef>
          </c:xVal>
          <c:yVal>
            <c:numRef>
              <c:f>Gráficos!$E$2:$E$6</c:f>
              <c:numCache>
                <c:formatCode>General</c:formatCode>
                <c:ptCount val="5"/>
                <c:pt idx="0">
                  <c:v>7.2899999999999991</c:v>
                </c:pt>
                <c:pt idx="1">
                  <c:v>8.36</c:v>
                </c:pt>
                <c:pt idx="2">
                  <c:v>14.580000000000002</c:v>
                </c:pt>
                <c:pt idx="3">
                  <c:v>3.1499999999999986</c:v>
                </c:pt>
                <c:pt idx="4">
                  <c:v>6.9499999999999993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DF4-4D54-B1ED-797902507B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9969472"/>
        <c:axId val="1189961152"/>
      </c:scatterChart>
      <c:valAx>
        <c:axId val="1189969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189961152"/>
        <c:crosses val="autoZero"/>
        <c:crossBetween val="midCat"/>
      </c:valAx>
      <c:valAx>
        <c:axId val="1189961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1899694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Riesgo Cardiovascular promedio segun Sexo(%)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Gráficos!$H$1</c:f>
              <c:strCache>
                <c:ptCount val="1"/>
                <c:pt idx="0">
                  <c:v>Riesgo promedio(%)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2BC-43C1-8798-A1A5621776E3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02BC-43C1-8798-A1A5621776E3}"/>
              </c:ext>
            </c:extLst>
          </c:dPt>
          <c:cat>
            <c:strRef>
              <c:f>Gráficos!$G$2:$G$3</c:f>
              <c:strCache>
                <c:ptCount val="2"/>
                <c:pt idx="0">
                  <c:v>Hombre</c:v>
                </c:pt>
                <c:pt idx="1">
                  <c:v>Mujer</c:v>
                </c:pt>
              </c:strCache>
            </c:strRef>
          </c:cat>
          <c:val>
            <c:numRef>
              <c:f>Gráficos!$H$2:$H$3</c:f>
              <c:numCache>
                <c:formatCode>General</c:formatCode>
                <c:ptCount val="2"/>
                <c:pt idx="0">
                  <c:v>8.5949999999999989</c:v>
                </c:pt>
                <c:pt idx="1">
                  <c:v>2.9499999999999993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E2-42C3-B040-E446304C43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35790736"/>
        <c:axId val="1135790320"/>
      </c:barChart>
      <c:catAx>
        <c:axId val="1135790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135790320"/>
        <c:crosses val="autoZero"/>
        <c:auto val="1"/>
        <c:lblAlgn val="ctr"/>
        <c:lblOffset val="100"/>
        <c:noMultiLvlLbl val="0"/>
      </c:catAx>
      <c:valAx>
        <c:axId val="1135790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135790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19</xdr:row>
      <xdr:rowOff>161925</xdr:rowOff>
    </xdr:from>
    <xdr:ext cx="9858375" cy="285750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C9E50EF3-BBE1-C9D1-DF5E-50C98627DBA2}"/>
            </a:ext>
          </a:extLst>
        </xdr:cNvPr>
        <xdr:cNvSpPr txBox="1"/>
      </xdr:nvSpPr>
      <xdr:spPr>
        <a:xfrm>
          <a:off x="0" y="4210050"/>
          <a:ext cx="9858375" cy="2857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s-AR" sz="1000" i="1"/>
            <a:t>Nota ISSUNNE: SCORE2 es para prevención primaria. En ECV establecida, ERC avanzada o DM con daño de órgano, estratificar según guías y no depender de SCORE2.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185737</xdr:rowOff>
    </xdr:from>
    <xdr:to>
      <xdr:col>2</xdr:col>
      <xdr:colOff>28575</xdr:colOff>
      <xdr:row>18</xdr:row>
      <xdr:rowOff>71437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F668645-BE82-C93E-E242-D552C4C85B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733425</xdr:colOff>
      <xdr:row>3</xdr:row>
      <xdr:rowOff>52387</xdr:rowOff>
    </xdr:from>
    <xdr:to>
      <xdr:col>5</xdr:col>
      <xdr:colOff>9525</xdr:colOff>
      <xdr:row>17</xdr:row>
      <xdr:rowOff>128587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DE7FD20-B152-AE6A-96A6-3B247E75C0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750733</xdr:colOff>
      <xdr:row>4</xdr:row>
      <xdr:rowOff>41786</xdr:rowOff>
    </xdr:from>
    <xdr:to>
      <xdr:col>8</xdr:col>
      <xdr:colOff>0</xdr:colOff>
      <xdr:row>18</xdr:row>
      <xdr:rowOff>60631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E9ECB4A-D92D-5E9B-20D6-8802B311CF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6994F7-81E0-4295-9BEA-C035B2F33A5F}" name="Tabla1" displayName="Tabla1" ref="A3:I12" totalsRowShown="0">
  <autoFilter ref="A3:I12" xr:uid="{256994F7-81E0-4295-9BEA-C035B2F33A5F}"/>
  <tableColumns count="9">
    <tableColumn id="1" xr3:uid="{D442F064-4C6D-4633-94CF-B87FFCE576C9}" name="ID"/>
    <tableColumn id="2" xr3:uid="{0848D654-FB79-44AB-ABB4-25075F42B96F}" name="Edad"/>
    <tableColumn id="3" xr3:uid="{7CE8B014-2703-4451-AD94-B03FB2634FED}" name="Sexo"/>
    <tableColumn id="4" xr3:uid="{9B1E5C2A-8776-4EC2-A359-BDFD994F9B85}" name="Tabaquismo"/>
    <tableColumn id="6" xr3:uid="{FB089BC2-6E82-4A7E-9C90-A7AE12A77451}" name="PAS"/>
    <tableColumn id="7" xr3:uid="{03F0D803-3115-4ABD-AC45-773C964D0836}" name="Col_Total_mg"/>
    <tableColumn id="8" xr3:uid="{7D788E62-63A9-4428-9842-F02A3D9FAB49}" name="HDL_mg"/>
    <tableColumn id="9" xr3:uid="{60202A95-9C1B-407A-8D42-EAE84A61E171}" name="LDL_mg"/>
    <tableColumn id="11" xr3:uid="{4BA2F3BE-9D7D-4004-B746-B11D80D5897E}" name="Region"/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247021D-F742-4F76-95F9-1782BABD2B23}" name="Tabla2" displayName="Tabla2" ref="A1:I9" totalsRowShown="0">
  <autoFilter ref="A1:I9" xr:uid="{6247021D-F742-4F76-95F9-1782BABD2B23}"/>
  <tableColumns count="9">
    <tableColumn id="1" xr3:uid="{3E15068A-23A1-4A5F-B60A-6C53860B858B}" name="ID">
      <calculatedColumnFormula>Pacientes!A4</calculatedColumnFormula>
    </tableColumn>
    <tableColumn id="2" xr3:uid="{F93C5A4E-7FE5-438C-9352-BC29985C9DEF}" name="TC_mmol">
      <calculatedColumnFormula>Pacientes!F4/38.67</calculatedColumnFormula>
    </tableColumn>
    <tableColumn id="3" xr3:uid="{AF215800-7DC7-47CA-93FE-87ACD0EE8FEB}" name="HDL_mmol">
      <calculatedColumnFormula xml:space="preserve"> Pacientes!G4/38.67</calculatedColumnFormula>
    </tableColumn>
    <tableColumn id="4" xr3:uid="{D17D713E-5301-4561-B34A-81916582708D}" name="Edad_SCORE" dataDxfId="7">
      <calculatedColumnFormula>IF(Pacientes!B4&lt;45,40,
 IF(Pacientes!B4&lt;50,45,
 IF(Pacientes!B4&lt;55,50,
 IF(Pacientes!B4&lt;60,55,
 IF(Pacientes!B4&lt;65,60,
 IF(Pacientes!B4&lt;70,65,
 IF(Pacientes!B4&lt;75,70,
 IF(Pacientes!B4&lt;80,75,80))))))))</calculatedColumnFormula>
    </tableColumn>
    <tableColumn id="8" xr3:uid="{A376A199-971B-42BD-A253-CB9B387D96CE}" name="PAS_SCORE" dataDxfId="6">
      <calculatedColumnFormula>IF(Pacientes!E4&lt;130,120,
 IF(Pacientes!E4&lt;150,140,
 IF(Pacientes!E4&lt;170,160,180)))</calculatedColumnFormula>
    </tableColumn>
    <tableColumn id="9" xr3:uid="{AAAD112D-EED9-49F8-88B7-84CF571FB8DB}" name="noHDL_SCORE" dataDxfId="5">
      <calculatedColumnFormula>IF(Pacientes!F4&lt;145,130,
 IF(Pacientes!F4&lt;175,160,
 IF(Pacientes!F4&lt;205,190,220)))</calculatedColumnFormula>
    </tableColumn>
    <tableColumn id="5" xr3:uid="{DC5EF876-9584-4C93-A271-3A96E25D845C}" name="Modelo" dataDxfId="4">
      <calculatedColumnFormula>IF(Pacientes!B4&gt;=70,"SCORE2-OP","SCORE2")</calculatedColumnFormula>
    </tableColumn>
    <tableColumn id="6" xr3:uid="{38AE69DC-DAA4-40CF-A50B-C55B16ECBCBE}" name="Riesgo_10y_%" dataDxfId="3">
      <calculatedColumnFormula>IF(Pacientes!C4="Hombre",
    IF(OR(Pacientes!D4="Si", Pacientes!D4="Sí"), (0.14*Pacientes!B4 + 0.08*Pacientes!E4 + 0.04*(Pacientes!F4-Pacientes!G4)-16), (0.11*Pacientes!B4 + 0.06*Pacientes!E4 + 0.03*(Pacientes!F4-Pacientes!G4)-12)),
    IF(OR(Pacientes!D4="Si", Pacientes!D4="Sí"), (0.1*Pacientes!B4 + 0.06*Pacientes!E4 + 0.03*(Pacientes!F4-Pacientes!G4)-11), (0.08*Pacientes!B4 + 0.05*Pacientes!E4 + 0.02*(Pacientes!F4-Pacientes!G4)-9))
)</calculatedColumnFormula>
    </tableColumn>
    <tableColumn id="7" xr3:uid="{FEEFEA61-8D1B-446B-81FB-BA5E0FAF4335}" name="Categoria" dataDxfId="2">
      <calculatedColumnFormula>IF(G2="SCORE2",
    IF(H2&lt;5,"Riesgo Bajo-Moderado",
       IF(H2&lt;10,"Riesgo Alto",
          "Riesgo Muy Alto")),
    IF(G2="SCORE2-OP",
       IF(H2&lt;7.5,"Riesgo Bajo-Moderado",
          IF(H2&lt;15,"Riesgo Alto",
             "Riesgo Muy Alto")),
       "")
)</calculatedColumnFormula>
    </tableColumn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BDE7302-8FF6-49D9-B564-50F2FF09F520}" name="Tabla8" displayName="Tabla8" ref="A1:G5" totalsRowShown="0" headerRowDxfId="1">
  <autoFilter ref="A1:G5" xr:uid="{1BDE7302-8FF6-49D9-B564-50F2FF09F520}"/>
  <tableColumns count="7">
    <tableColumn id="1" xr3:uid="{B79147FB-457D-4FE7-B9A3-D5857644AD36}" name="Modelo"/>
    <tableColumn id="2" xr3:uid="{8C1146AB-2396-40FA-B936-240176766887}" name="Sexo"/>
    <tableColumn id="3" xr3:uid="{05223856-F9A7-463F-9209-E78D7DEB770A}" name="Edad_SCORE"/>
    <tableColumn id="4" xr3:uid="{FADA8B65-AE54-49DC-BB68-E5493378FFCE}" name="PAS_SCORE"/>
    <tableColumn id="5" xr3:uid="{E0B60CC3-AF34-4510-A388-F40F8A85E0C6}" name="noHDL_SCORE"/>
    <tableColumn id="6" xr3:uid="{FA08B96A-D139-4EC5-94EA-33A23D9080F3}" name="Fumador"/>
    <tableColumn id="7" xr3:uid="{2D023476-02A4-4BA4-9707-57B3EC4A653F}" name="Riesgo_%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9DA3361-7483-4C6C-8577-BAC72F063865}" name="Tabla5" displayName="Tabla5" ref="A1:B4" totalsRowShown="0">
  <autoFilter ref="A1:B4" xr:uid="{59DA3361-7483-4C6C-8577-BAC72F063865}"/>
  <tableColumns count="2">
    <tableColumn id="1" xr3:uid="{3B3EFBFD-C99D-471A-8C8E-DBD3BEAAA8AA}" name="Categoría"/>
    <tableColumn id="2" xr3:uid="{0A31D2C3-D04E-426C-BFCA-0EB4FD22D146}" name="Cantidad de paciente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A1DF7ED-F729-4E4D-BCF4-B9C73FC37658}" name="Tabla6" displayName="Tabla6" ref="D1:E6" totalsRowShown="0">
  <autoFilter ref="D1:E6" xr:uid="{AA1DF7ED-F729-4E4D-BCF4-B9C73FC37658}"/>
  <tableColumns count="2">
    <tableColumn id="1" xr3:uid="{7F64F77F-0C7A-4FEE-928B-56888900D390}" name="Edad">
      <calculatedColumnFormula>Pacientes!B4</calculatedColumnFormula>
    </tableColumn>
    <tableColumn id="2" xr3:uid="{A1DB3696-CE29-4D2D-BE1E-33ECD5482075}" name="Riesgo 10 años(%)">
      <calculatedColumnFormula>Calc!H2</calculatedColumnFormula>
    </tableColumn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86E9162-F531-467B-BFA8-519FCE02C82D}" name="Tabla7" displayName="Tabla7" ref="G1:H3" totalsRowShown="0">
  <autoFilter ref="G1:H3" xr:uid="{E86E9162-F531-467B-BFA8-519FCE02C82D}"/>
  <tableColumns count="2">
    <tableColumn id="1" xr3:uid="{BB70DCCB-4F68-478D-A954-45EC4A80E992}" name="Sexo"/>
    <tableColumn id="2" xr3:uid="{56F1BF99-6A46-44E3-B15F-A69BBED1BC6F}" name="Riesgo promedio(%)">
      <calculatedColumnFormula>AVERAGEIF(Pacientes!C:C,"Mujer",Calc!H:H)</calculatedColumnFormula>
    </tableColumn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F6AD8C3-F407-43AA-BE78-F4B5B66795E0}" name="Tabla3" displayName="Tabla3" ref="A3:D10" totalsRowShown="0">
  <autoFilter ref="A3:D10" xr:uid="{AF6AD8C3-F407-43AA-BE78-F4B5B66795E0}"/>
  <tableColumns count="4">
    <tableColumn id="1" xr3:uid="{60BB0A7A-5763-4611-BE33-38574DA046C9}" name="ID">
      <calculatedColumnFormula>Calc!A2</calculatedColumnFormula>
    </tableColumn>
    <tableColumn id="2" xr3:uid="{E836462F-5DA6-4B60-BA8A-9867E40886C2}" name="Riesgo_10y_%">
      <calculatedColumnFormula>Calc!H2</calculatedColumnFormula>
    </tableColumn>
    <tableColumn id="3" xr3:uid="{5DBE0A4C-2E5F-47BC-9E11-8AE748456E46}" name="Categoria">
      <calculatedColumnFormula>Calc!I2</calculatedColumnFormula>
    </tableColumn>
    <tableColumn id="4" xr3:uid="{2298EC31-7292-4B27-BB0F-CC5CA1D14919}" name="Conducta" dataDxfId="0">
      <calculatedColumnFormula>IFERROR(VLOOKUP(C4,Lookups!$A$2:$B$4,2,FALSE),"")</calculatedColumnFormula>
    </tableColumn>
  </tableColumns>
  <tableStyleInfo name="TableStyleLight14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5607B58-D1CC-4DA1-AFFC-D9531FBA9689}" name="Tabla4" displayName="Tabla4" ref="A1:B4" totalsRowShown="0">
  <autoFilter ref="A1:B4" xr:uid="{95607B58-D1CC-4DA1-AFFC-D9531FBA9689}"/>
  <tableColumns count="2">
    <tableColumn id="1" xr3:uid="{46FA2159-622D-4201-A950-F3D1DE5BBEDD}" name="Categoria"/>
    <tableColumn id="2" xr3:uid="{6A141029-71BA-4222-A4C7-ED7E09E5361C}" name="Conducta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drawing" Target="../drawings/drawing2.xml"/><Relationship Id="rId4" Type="http://schemas.openxmlformats.org/officeDocument/2006/relationships/table" Target="../tables/table6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"/>
  <sheetViews>
    <sheetView zoomScaleNormal="100" workbookViewId="0">
      <selection activeCell="A5" sqref="A5"/>
    </sheetView>
  </sheetViews>
  <sheetFormatPr baseColWidth="10" defaultColWidth="9.140625" defaultRowHeight="15" x14ac:dyDescent="0.25"/>
  <cols>
    <col min="3" max="3" width="8.140625" bestFit="1" customWidth="1"/>
    <col min="4" max="4" width="14" bestFit="1" customWidth="1"/>
    <col min="5" max="5" width="6.7109375" bestFit="1" customWidth="1"/>
    <col min="6" max="6" width="15.28515625" bestFit="1" customWidth="1"/>
    <col min="7" max="7" width="10.42578125" bestFit="1" customWidth="1"/>
    <col min="8" max="9" width="11.5703125" bestFit="1" customWidth="1"/>
  </cols>
  <sheetData>
    <row r="1" spans="1:11" ht="23.25" x14ac:dyDescent="0.35">
      <c r="A1" s="2" t="s">
        <v>42</v>
      </c>
      <c r="B1" s="3"/>
      <c r="C1" s="3"/>
      <c r="D1" s="3"/>
      <c r="E1" s="3"/>
      <c r="F1" s="3"/>
      <c r="G1" s="3"/>
      <c r="H1" s="3"/>
      <c r="I1" s="3"/>
      <c r="J1" s="3"/>
      <c r="K1" s="3"/>
    </row>
    <row r="3" spans="1:11" x14ac:dyDescent="0.25">
      <c r="A3" t="s">
        <v>0</v>
      </c>
      <c r="B3" t="s">
        <v>1</v>
      </c>
      <c r="C3" t="s">
        <v>2</v>
      </c>
      <c r="D3" t="s">
        <v>22</v>
      </c>
      <c r="E3" t="s">
        <v>3</v>
      </c>
      <c r="F3" t="s">
        <v>4</v>
      </c>
      <c r="G3" t="s">
        <v>5</v>
      </c>
      <c r="H3" t="s">
        <v>60</v>
      </c>
      <c r="I3" t="s">
        <v>6</v>
      </c>
    </row>
    <row r="4" spans="1:11" x14ac:dyDescent="0.25">
      <c r="A4" t="s">
        <v>23</v>
      </c>
      <c r="B4">
        <v>81</v>
      </c>
      <c r="C4" t="s">
        <v>7</v>
      </c>
      <c r="D4" t="s">
        <v>8</v>
      </c>
      <c r="E4">
        <v>115</v>
      </c>
      <c r="F4">
        <v>162</v>
      </c>
      <c r="G4">
        <v>46</v>
      </c>
      <c r="I4" t="s">
        <v>27</v>
      </c>
    </row>
    <row r="5" spans="1:11" x14ac:dyDescent="0.25">
      <c r="A5" t="s">
        <v>24</v>
      </c>
      <c r="B5">
        <v>58</v>
      </c>
      <c r="C5" t="s">
        <v>9</v>
      </c>
      <c r="D5" t="s">
        <v>10</v>
      </c>
      <c r="E5">
        <v>140</v>
      </c>
      <c r="F5">
        <v>220</v>
      </c>
      <c r="G5">
        <v>48</v>
      </c>
      <c r="I5" t="s">
        <v>27</v>
      </c>
    </row>
    <row r="6" spans="1:11" x14ac:dyDescent="0.25">
      <c r="A6" t="s">
        <v>25</v>
      </c>
      <c r="B6">
        <v>67</v>
      </c>
      <c r="C6" t="s">
        <v>7</v>
      </c>
      <c r="D6" t="s">
        <v>10</v>
      </c>
      <c r="E6">
        <v>155</v>
      </c>
      <c r="F6">
        <v>260</v>
      </c>
      <c r="G6">
        <v>40</v>
      </c>
      <c r="I6" t="s">
        <v>62</v>
      </c>
    </row>
    <row r="7" spans="1:11" x14ac:dyDescent="0.25">
      <c r="A7" t="s">
        <v>26</v>
      </c>
      <c r="B7">
        <v>42</v>
      </c>
      <c r="C7" t="s">
        <v>7</v>
      </c>
      <c r="D7" t="s">
        <v>8</v>
      </c>
      <c r="E7">
        <v>118</v>
      </c>
      <c r="F7">
        <v>175</v>
      </c>
      <c r="G7">
        <v>60</v>
      </c>
      <c r="I7" t="s">
        <v>27</v>
      </c>
    </row>
    <row r="8" spans="1:11" x14ac:dyDescent="0.25">
      <c r="A8" t="s">
        <v>45</v>
      </c>
      <c r="B8">
        <v>55</v>
      </c>
      <c r="C8" t="s">
        <v>7</v>
      </c>
      <c r="D8" t="s">
        <v>8</v>
      </c>
      <c r="E8">
        <v>135</v>
      </c>
      <c r="F8">
        <v>200</v>
      </c>
      <c r="G8">
        <v>40</v>
      </c>
      <c r="I8" t="s">
        <v>62</v>
      </c>
    </row>
    <row r="9" spans="1:11" x14ac:dyDescent="0.25">
      <c r="A9" t="s">
        <v>57</v>
      </c>
      <c r="B9">
        <v>55</v>
      </c>
      <c r="C9" t="s">
        <v>9</v>
      </c>
      <c r="D9" t="s">
        <v>8</v>
      </c>
      <c r="E9">
        <v>115</v>
      </c>
      <c r="F9">
        <v>180</v>
      </c>
      <c r="G9">
        <v>60</v>
      </c>
      <c r="I9" t="s">
        <v>27</v>
      </c>
    </row>
    <row r="10" spans="1:11" x14ac:dyDescent="0.25">
      <c r="A10" s="1" t="s">
        <v>58</v>
      </c>
      <c r="B10" s="1">
        <v>60</v>
      </c>
      <c r="C10" s="1" t="s">
        <v>7</v>
      </c>
      <c r="D10" s="1" t="s">
        <v>8</v>
      </c>
      <c r="E10" s="1">
        <v>145</v>
      </c>
      <c r="F10" s="1">
        <v>240</v>
      </c>
      <c r="G10" s="1">
        <v>40</v>
      </c>
      <c r="I10" s="1" t="s">
        <v>62</v>
      </c>
    </row>
    <row r="11" spans="1:11" x14ac:dyDescent="0.25">
      <c r="A11" s="1" t="s">
        <v>61</v>
      </c>
      <c r="B11" s="1">
        <v>45</v>
      </c>
      <c r="C11" s="1" t="s">
        <v>9</v>
      </c>
      <c r="D11" s="1" t="s">
        <v>8</v>
      </c>
      <c r="E11" s="1">
        <v>115</v>
      </c>
      <c r="F11" s="1">
        <v>180</v>
      </c>
      <c r="G11" s="1">
        <v>60</v>
      </c>
      <c r="H11" s="1"/>
      <c r="I11" s="1" t="s">
        <v>27</v>
      </c>
    </row>
    <row r="12" spans="1:11" x14ac:dyDescent="0.25">
      <c r="A12" s="1"/>
      <c r="B12" s="1"/>
      <c r="C12" s="1"/>
      <c r="D12" s="1"/>
      <c r="E12" s="1"/>
      <c r="F12" s="1"/>
      <c r="G12" s="1"/>
      <c r="H12" s="1"/>
      <c r="I12" s="1"/>
    </row>
    <row r="15" spans="1:11" ht="11.25" customHeight="1" x14ac:dyDescent="0.25"/>
    <row r="16" spans="1:11" ht="17.25" customHeight="1" x14ac:dyDescent="0.25"/>
    <row r="17" spans="1:5" ht="36" customHeight="1" x14ac:dyDescent="0.25"/>
    <row r="18" spans="1:5" ht="4.5" customHeight="1" x14ac:dyDescent="0.25"/>
    <row r="19" spans="1:5" ht="31.5" customHeight="1" x14ac:dyDescent="0.25">
      <c r="A19" s="10" t="s">
        <v>29</v>
      </c>
      <c r="B19" s="11"/>
      <c r="C19" s="11"/>
      <c r="D19" s="11"/>
      <c r="E19" s="11"/>
    </row>
  </sheetData>
  <mergeCells count="1">
    <mergeCell ref="A19:E19"/>
  </mergeCells>
  <pageMargins left="0.75" right="0.75" top="1" bottom="1" header="0.5" footer="0.5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"/>
  <sheetViews>
    <sheetView tabSelected="1" zoomScale="106" zoomScaleNormal="106" workbookViewId="0">
      <selection activeCell="D2" sqref="D2"/>
    </sheetView>
  </sheetViews>
  <sheetFormatPr baseColWidth="10" defaultColWidth="9.140625" defaultRowHeight="15" x14ac:dyDescent="0.25"/>
  <cols>
    <col min="2" max="2" width="11.42578125" customWidth="1"/>
    <col min="3" max="3" width="12.7109375" customWidth="1"/>
    <col min="4" max="4" width="14.28515625" bestFit="1" customWidth="1"/>
    <col min="5" max="5" width="13.42578125" bestFit="1" customWidth="1"/>
    <col min="6" max="8" width="15.7109375" bestFit="1" customWidth="1"/>
    <col min="9" max="9" width="21.28515625" bestFit="1" customWidth="1"/>
  </cols>
  <sheetData>
    <row r="1" spans="1:9" x14ac:dyDescent="0.25">
      <c r="A1" t="s">
        <v>0</v>
      </c>
      <c r="B1" t="s">
        <v>16</v>
      </c>
      <c r="C1" t="s">
        <v>17</v>
      </c>
      <c r="D1" t="s">
        <v>53</v>
      </c>
      <c r="E1" t="s">
        <v>54</v>
      </c>
      <c r="F1" t="s">
        <v>55</v>
      </c>
      <c r="G1" t="s">
        <v>28</v>
      </c>
      <c r="H1" t="s">
        <v>18</v>
      </c>
      <c r="I1" t="s">
        <v>11</v>
      </c>
    </row>
    <row r="2" spans="1:9" x14ac:dyDescent="0.25">
      <c r="A2" t="str">
        <f>Pacientes!A4</f>
        <v>P001</v>
      </c>
      <c r="B2">
        <f>Pacientes!F4/38.67</f>
        <v>4.189294026377036</v>
      </c>
      <c r="C2">
        <f xml:space="preserve"> Pacientes!G4/38.67</f>
        <v>1.1895526247737263</v>
      </c>
      <c r="D2">
        <f>IF(Pacientes!B4&lt;45,40,
 IF(Pacientes!B4&lt;50,45,
 IF(Pacientes!B4&lt;55,50,
 IF(Pacientes!B4&lt;60,55,
 IF(Pacientes!B4&lt;65,60,
 IF(Pacientes!B4&lt;70,65,
 IF(Pacientes!B4&lt;75,70,
 IF(Pacientes!B4&lt;80,75,80))))))))</f>
        <v>80</v>
      </c>
      <c r="E2">
        <f>IF(Pacientes!E4&lt;130,120,
 IF(Pacientes!E4&lt;150,140,
 IF(Pacientes!E4&lt;170,160,180)))</f>
        <v>120</v>
      </c>
      <c r="F2">
        <f>IF(Pacientes!F4&lt;145,130,
 IF(Pacientes!F4&lt;175,160,
 IF(Pacientes!F4&lt;205,190,220)))</f>
        <v>160</v>
      </c>
      <c r="G2" t="str">
        <f>IF(Pacientes!B4&gt;=70,"SCORE2-OP","SCORE2")</f>
        <v>SCORE2-OP</v>
      </c>
      <c r="H2">
        <f>IF(Pacientes!C4="Hombre",
    IF(OR(Pacientes!D4="Si", Pacientes!D4="Sí"), (0.14*Pacientes!B4 + 0.08*Pacientes!E4 + 0.04*(Pacientes!F4-Pacientes!G4)-16), (0.11*Pacientes!B4 + 0.06*Pacientes!E4 + 0.03*(Pacientes!F4-Pacientes!G4)-12)),
    IF(OR(Pacientes!D4="Si", Pacientes!D4="Sí"), (0.1*Pacientes!B4 + 0.06*Pacientes!E4 + 0.03*(Pacientes!F4-Pacientes!G4)-11), (0.08*Pacientes!B4 + 0.05*Pacientes!E4 + 0.02*(Pacientes!F4-Pacientes!G4)-9))
)</f>
        <v>7.2899999999999991</v>
      </c>
      <c r="I2" s="6" t="str">
        <f t="shared" ref="I2:I8" si="0">IF(G2="SCORE2",
    IF(H2&lt;5,"Riesgo Bajo-Moderado",
       IF(H2&lt;10,"Riesgo Alto",
          "Riesgo Muy Alto")),
    IF(G2="SCORE2-OP",
       IF(H2&lt;7.5,"Riesgo Bajo-Moderado",
          IF(H2&lt;15,"Riesgo Alto",
             "Riesgo Muy Alto")),
       "")
)</f>
        <v>Riesgo Bajo-Moderado</v>
      </c>
    </row>
    <row r="3" spans="1:9" x14ac:dyDescent="0.25">
      <c r="A3" s="1" t="str">
        <f>Pacientes!A5</f>
        <v>P002</v>
      </c>
      <c r="B3">
        <f>Pacientes!F5/38.67</f>
        <v>5.6891647271786914</v>
      </c>
      <c r="C3">
        <f xml:space="preserve"> Pacientes!G5/38.67</f>
        <v>1.2412723041117144</v>
      </c>
      <c r="D3">
        <f>IF(Pacientes!B5&lt;45,40,
 IF(Pacientes!B5&lt;50,45,
 IF(Pacientes!B5&lt;55,50,
 IF(Pacientes!B5&lt;60,55,
 IF(Pacientes!B5&lt;65,60,
 IF(Pacientes!B5&lt;70,65,
 IF(Pacientes!B5&lt;75,70,
 IF(Pacientes!B5&lt;80,75,80))))))))</f>
        <v>55</v>
      </c>
      <c r="E3">
        <f>IF(Pacientes!E5&lt;130,120,
 IF(Pacientes!E5&lt;150,140,
 IF(Pacientes!E5&lt;170,160,180)))</f>
        <v>140</v>
      </c>
      <c r="F3">
        <f>IF(Pacientes!F5&lt;145,130,
 IF(Pacientes!F5&lt;175,160,
 IF(Pacientes!F5&lt;205,190,220)))</f>
        <v>220</v>
      </c>
      <c r="G3" t="str">
        <f>IF(Pacientes!B5&gt;=70,"SCORE2-OP","SCORE2")</f>
        <v>SCORE2</v>
      </c>
      <c r="H3">
        <f>IF(Pacientes!C5="Hombre",
    IF(OR(Pacientes!D5="Si", Pacientes!D5="Sí"), (0.14*Pacientes!B5 + 0.08*Pacientes!E5 + 0.04*(Pacientes!F5-Pacientes!G5)-16), (0.11*Pacientes!B5 + 0.06*Pacientes!E5 + 0.03*(Pacientes!F5-Pacientes!G5)-12)),
    IF(OR(Pacientes!D5="Si", Pacientes!D5="Sí"), (0.1*Pacientes!B5 + 0.06*Pacientes!E5 + 0.03*(Pacientes!F5-Pacientes!G5)-11), (0.08*Pacientes!B5 + 0.05*Pacientes!E5 + 0.02*(Pacientes!F5-Pacientes!G5)-9))
)</f>
        <v>8.36</v>
      </c>
      <c r="I3" s="6" t="str">
        <f t="shared" si="0"/>
        <v>Riesgo Alto</v>
      </c>
    </row>
    <row r="4" spans="1:9" x14ac:dyDescent="0.25">
      <c r="A4" s="1" t="str">
        <f>Pacientes!A6</f>
        <v>P003</v>
      </c>
      <c r="B4">
        <f>Pacientes!F6/38.67</f>
        <v>6.7235583139384536</v>
      </c>
      <c r="C4">
        <f xml:space="preserve"> Pacientes!G6/38.67</f>
        <v>1.034393586759762</v>
      </c>
      <c r="D4">
        <f>IF(Pacientes!B6&lt;45,40,
 IF(Pacientes!B6&lt;50,45,
 IF(Pacientes!B6&lt;55,50,
 IF(Pacientes!B6&lt;60,55,
 IF(Pacientes!B6&lt;65,60,
 IF(Pacientes!B6&lt;70,65,
 IF(Pacientes!B6&lt;75,70,
 IF(Pacientes!B6&lt;80,75,80))))))))</f>
        <v>65</v>
      </c>
      <c r="E4">
        <f>IF(Pacientes!E6&lt;130,120,
 IF(Pacientes!E6&lt;150,140,
 IF(Pacientes!E6&lt;170,160,180)))</f>
        <v>160</v>
      </c>
      <c r="F4">
        <f>IF(Pacientes!F6&lt;145,130,
 IF(Pacientes!F6&lt;175,160,
 IF(Pacientes!F6&lt;205,190,220)))</f>
        <v>220</v>
      </c>
      <c r="G4" t="str">
        <f>IF(Pacientes!B6&gt;=70,"SCORE2-OP","SCORE2")</f>
        <v>SCORE2</v>
      </c>
      <c r="H4">
        <f>IF(Pacientes!C6="Hombre",
    IF(OR(Pacientes!D6="Si", Pacientes!D6="Sí"), (0.14*Pacientes!B6 + 0.08*Pacientes!E6 + 0.04*(Pacientes!F6-Pacientes!G6)-16), (0.11*Pacientes!B6 + 0.06*Pacientes!E6 + 0.03*(Pacientes!F6-Pacientes!G6)-12)),
    IF(OR(Pacientes!D6="Si", Pacientes!D6="Sí"), (0.1*Pacientes!B6 + 0.06*Pacientes!E6 + 0.03*(Pacientes!F6-Pacientes!G6)-11), (0.08*Pacientes!B6 + 0.05*Pacientes!E6 + 0.02*(Pacientes!F6-Pacientes!G6)-9))
)</f>
        <v>14.580000000000002</v>
      </c>
      <c r="I4" s="6" t="str">
        <f t="shared" si="0"/>
        <v>Riesgo Muy Alto</v>
      </c>
    </row>
    <row r="5" spans="1:9" x14ac:dyDescent="0.25">
      <c r="A5" s="1" t="str">
        <f>Pacientes!A7</f>
        <v>P004</v>
      </c>
      <c r="B5">
        <f>Pacientes!F7/38.67</f>
        <v>4.5254719420739589</v>
      </c>
      <c r="C5">
        <f xml:space="preserve"> Pacientes!G7/38.67</f>
        <v>1.5515903801396431</v>
      </c>
      <c r="D5">
        <f>IF(Pacientes!B7&lt;45,40,
 IF(Pacientes!B7&lt;50,45,
 IF(Pacientes!B7&lt;55,50,
 IF(Pacientes!B7&lt;60,55,
 IF(Pacientes!B7&lt;65,60,
 IF(Pacientes!B7&lt;70,65,
 IF(Pacientes!B7&lt;75,70,
 IF(Pacientes!B7&lt;80,75,80))))))))</f>
        <v>40</v>
      </c>
      <c r="E5">
        <f>IF(Pacientes!E7&lt;130,120,
 IF(Pacientes!E7&lt;150,140,
 IF(Pacientes!E7&lt;170,160,180)))</f>
        <v>120</v>
      </c>
      <c r="F5">
        <f>IF(Pacientes!F7&lt;145,130,
 IF(Pacientes!F7&lt;175,160,
 IF(Pacientes!F7&lt;205,190,220)))</f>
        <v>190</v>
      </c>
      <c r="G5" t="str">
        <f>IF(Pacientes!B7&gt;=70,"SCORE2-OP","SCORE2")</f>
        <v>SCORE2</v>
      </c>
      <c r="H5">
        <f>IF(Pacientes!C7="Hombre",
    IF(OR(Pacientes!D7="Si", Pacientes!D7="Sí"), (0.14*Pacientes!B7 + 0.08*Pacientes!E7 + 0.04*(Pacientes!F7-Pacientes!G7)-16), (0.11*Pacientes!B7 + 0.06*Pacientes!E7 + 0.03*(Pacientes!F7-Pacientes!G7)-12)),
    IF(OR(Pacientes!D7="Si", Pacientes!D7="Sí"), (0.1*Pacientes!B7 + 0.06*Pacientes!E7 + 0.03*(Pacientes!F7-Pacientes!G7)-11), (0.08*Pacientes!B7 + 0.05*Pacientes!E7 + 0.02*(Pacientes!F7-Pacientes!G7)-9))
)</f>
        <v>3.1499999999999986</v>
      </c>
      <c r="I5" s="6" t="str">
        <f t="shared" si="0"/>
        <v>Riesgo Bajo-Moderado</v>
      </c>
    </row>
    <row r="6" spans="1:9" x14ac:dyDescent="0.25">
      <c r="A6" s="1" t="str">
        <f>Pacientes!A8</f>
        <v>P005</v>
      </c>
      <c r="B6">
        <f>Pacientes!F8/38.67</f>
        <v>5.1719679337988103</v>
      </c>
      <c r="C6">
        <f xml:space="preserve"> Pacientes!G8/38.67</f>
        <v>1.034393586759762</v>
      </c>
      <c r="D6">
        <f>IF(Pacientes!B8&lt;45,40,
 IF(Pacientes!B8&lt;50,45,
 IF(Pacientes!B8&lt;55,50,
 IF(Pacientes!B8&lt;60,55,
 IF(Pacientes!B8&lt;65,60,
 IF(Pacientes!B8&lt;70,65,
 IF(Pacientes!B8&lt;75,70,
 IF(Pacientes!B8&lt;80,75,80))))))))</f>
        <v>55</v>
      </c>
      <c r="E6">
        <f>IF(Pacientes!E8&lt;130,120,
 IF(Pacientes!E8&lt;150,140,
 IF(Pacientes!E8&lt;170,160,180)))</f>
        <v>140</v>
      </c>
      <c r="F6">
        <f>IF(Pacientes!F8&lt;145,130,
 IF(Pacientes!F8&lt;175,160,
 IF(Pacientes!F8&lt;205,190,220)))</f>
        <v>190</v>
      </c>
      <c r="G6" s="6" t="str">
        <f>IF(Pacientes!B8&gt;=70,"SCORE2-OP","SCORE2")</f>
        <v>SCORE2</v>
      </c>
      <c r="H6">
        <f>IF(Pacientes!C8="Hombre",
    IF(OR(Pacientes!D8="Si", Pacientes!D8="Sí"), (0.14*Pacientes!B8 + 0.08*Pacientes!E8 + 0.04*(Pacientes!F8-Pacientes!G8)-16), (0.11*Pacientes!B8 + 0.06*Pacientes!E8 + 0.03*(Pacientes!F8-Pacientes!G8)-12)),
    IF(OR(Pacientes!D8="Si", Pacientes!D8="Sí"), (0.1*Pacientes!B8 + 0.06*Pacientes!E8 + 0.03*(Pacientes!F8-Pacientes!G8)-11), (0.08*Pacientes!B8 + 0.05*Pacientes!E8 + 0.02*(Pacientes!F8-Pacientes!G8)-9))
)</f>
        <v>6.9499999999999993</v>
      </c>
      <c r="I6" s="6" t="str">
        <f t="shared" si="0"/>
        <v>Riesgo Alto</v>
      </c>
    </row>
    <row r="7" spans="1:9" x14ac:dyDescent="0.25">
      <c r="A7" s="1" t="str">
        <f>Pacientes!A9</f>
        <v>P006</v>
      </c>
      <c r="B7" s="1">
        <f>Pacientes!F9/38.67</f>
        <v>4.6547711404189291</v>
      </c>
      <c r="C7" s="1">
        <f xml:space="preserve"> Pacientes!G9/38.67</f>
        <v>1.5515903801396431</v>
      </c>
      <c r="D7" s="6">
        <f>IF(Pacientes!B9&lt;45,40,
 IF(Pacientes!B9&lt;50,45,
 IF(Pacientes!B9&lt;55,50,
 IF(Pacientes!B9&lt;60,55,
 IF(Pacientes!B9&lt;65,60,
 IF(Pacientes!B9&lt;70,65,
 IF(Pacientes!B9&lt;75,70,
 IF(Pacientes!B9&lt;80,75,80))))))))</f>
        <v>55</v>
      </c>
      <c r="E7" s="6">
        <f>IF(Pacientes!E9&lt;130,120,
 IF(Pacientes!E9&lt;150,140,
 IF(Pacientes!E9&lt;170,160,180)))</f>
        <v>120</v>
      </c>
      <c r="F7" s="6">
        <f>IF(Pacientes!F9&lt;145,130,
 IF(Pacientes!F9&lt;175,160,
 IF(Pacientes!F9&lt;205,190,220)))</f>
        <v>190</v>
      </c>
      <c r="G7" s="6" t="str">
        <f>IF(Pacientes!B9&gt;=70,"SCORE2-OP","SCORE2")</f>
        <v>SCORE2</v>
      </c>
      <c r="H7" s="6">
        <f>IF(Pacientes!C9="Hombre",
    IF(OR(Pacientes!D9="Si", Pacientes!D9="Sí"), (0.14*Pacientes!B9 + 0.08*Pacientes!E9 + 0.04*(Pacientes!F9-Pacientes!G9)-16), (0.11*Pacientes!B9 + 0.06*Pacientes!E9 + 0.03*(Pacientes!F9-Pacientes!G9)-12)),
    IF(OR(Pacientes!D9="Si", Pacientes!D9="Sí"), (0.1*Pacientes!B9 + 0.06*Pacientes!E9 + 0.03*(Pacientes!F9-Pacientes!G9)-11), (0.08*Pacientes!B9 + 0.05*Pacientes!E9 + 0.02*(Pacientes!F9-Pacientes!G9)-9))
)</f>
        <v>3.5500000000000007</v>
      </c>
      <c r="I7" s="6" t="str">
        <f t="shared" si="0"/>
        <v>Riesgo Bajo-Moderado</v>
      </c>
    </row>
    <row r="8" spans="1:9" x14ac:dyDescent="0.25">
      <c r="A8" s="1" t="str">
        <f>Pacientes!A10</f>
        <v>P007</v>
      </c>
      <c r="B8" s="1">
        <f>Pacientes!F10/38.67</f>
        <v>6.2063615205585725</v>
      </c>
      <c r="C8" s="1">
        <f xml:space="preserve"> Pacientes!G10/38.67</f>
        <v>1.034393586759762</v>
      </c>
      <c r="D8" s="6">
        <f>IF(Pacientes!B10&lt;45,40,
 IF(Pacientes!B10&lt;50,45,
 IF(Pacientes!B10&lt;55,50,
 IF(Pacientes!B10&lt;60,55,
 IF(Pacientes!B10&lt;65,60,
 IF(Pacientes!B10&lt;70,65,
 IF(Pacientes!B10&lt;75,70,
 IF(Pacientes!B10&lt;80,75,80))))))))</f>
        <v>60</v>
      </c>
      <c r="E8" s="6">
        <f>IF(Pacientes!E10&lt;130,120,
 IF(Pacientes!E10&lt;150,140,
 IF(Pacientes!E10&lt;170,160,180)))</f>
        <v>140</v>
      </c>
      <c r="F8" s="6">
        <f>IF(Pacientes!F10&lt;145,130,
 IF(Pacientes!F10&lt;175,160,
 IF(Pacientes!F10&lt;205,190,220)))</f>
        <v>220</v>
      </c>
      <c r="G8" s="6" t="str">
        <f>IF(Pacientes!B10&gt;=70,"SCORE2-OP","SCORE2")</f>
        <v>SCORE2</v>
      </c>
      <c r="H8" s="6">
        <f>IF(Pacientes!C10="Hombre",
    IF(OR(Pacientes!D10="Si", Pacientes!D10="Sí"), (0.14*Pacientes!B10 + 0.08*Pacientes!E10 + 0.04*(Pacientes!F10-Pacientes!G10)-16), (0.11*Pacientes!B10 + 0.06*Pacientes!E10 + 0.03*(Pacientes!F10-Pacientes!G10)-12)),
    IF(OR(Pacientes!D10="Si", Pacientes!D10="Sí"), (0.1*Pacientes!B10 + 0.06*Pacientes!E10 + 0.03*(Pacientes!F10-Pacientes!G10)-11), (0.08*Pacientes!B10 + 0.05*Pacientes!E10 + 0.02*(Pacientes!F10-Pacientes!G10)-9))
)</f>
        <v>9.2999999999999972</v>
      </c>
      <c r="I8" s="6" t="str">
        <f t="shared" si="0"/>
        <v>Riesgo Alto</v>
      </c>
    </row>
    <row r="9" spans="1:9" x14ac:dyDescent="0.25">
      <c r="A9" s="1" t="str">
        <f>Pacientes!A11</f>
        <v>P008</v>
      </c>
      <c r="B9" s="1">
        <f>Pacientes!F11/38.67</f>
        <v>4.6547711404189291</v>
      </c>
      <c r="C9" s="1">
        <f xml:space="preserve"> Pacientes!G11/38.67</f>
        <v>1.5515903801396431</v>
      </c>
      <c r="D9" s="6">
        <f>IF(Pacientes!B11&lt;45,40,
 IF(Pacientes!B11&lt;50,45,
 IF(Pacientes!B11&lt;55,50,
 IF(Pacientes!B11&lt;60,55,
 IF(Pacientes!B11&lt;65,60,
 IF(Pacientes!B11&lt;70,65,
 IF(Pacientes!B11&lt;75,70,
 IF(Pacientes!B11&lt;80,75,80))))))))</f>
        <v>45</v>
      </c>
      <c r="E9" s="6">
        <f>IF(Pacientes!E11&lt;130,120,
 IF(Pacientes!E11&lt;150,140,
 IF(Pacientes!E11&lt;170,160,180)))</f>
        <v>120</v>
      </c>
      <c r="F9" s="6">
        <f>IF(Pacientes!F11&lt;145,130,
 IF(Pacientes!F11&lt;175,160,
 IF(Pacientes!F11&lt;205,190,220)))</f>
        <v>190</v>
      </c>
      <c r="G9" s="6" t="str">
        <f>IF(Pacientes!B11&gt;=70,"SCORE2-OP","SCORE2")</f>
        <v>SCORE2</v>
      </c>
      <c r="H9" s="6">
        <f>IF(Pacientes!C11="Hombre",
    IF(OR(Pacientes!D11="Si", Pacientes!D11="Sí"), (0.14*Pacientes!B11 + 0.08*Pacientes!E11 + 0.04*(Pacientes!F11-Pacientes!G11)-16), (0.11*Pacientes!B11 + 0.06*Pacientes!E11 + 0.03*(Pacientes!F11-Pacientes!G11)-12)),
    IF(OR(Pacientes!D11="Si", Pacientes!D11="Sí"), (0.1*Pacientes!B11 + 0.06*Pacientes!E11 + 0.03*(Pacientes!F11-Pacientes!G11)-11), (0.08*Pacientes!B11 + 0.05*Pacientes!E11 + 0.02*(Pacientes!F11-Pacientes!G11)-9))
)</f>
        <v>2.75</v>
      </c>
      <c r="I9" s="6" t="str">
        <f>IF(G9="SCORE2",
    IF(H9&lt;5,"Riesgo Bajo-Moderado",
       IF(H9&lt;10,"Riesgo Alto",
          "Riesgo Muy Alto")),
    IF(G9="SCORE2-OP",
       IF(H9&lt;7.5,"Riesgo Bajo-Moderado",
          IF(H9&lt;15,"Riesgo Alto",
             "Riesgo Muy Alto")),
       "")
)</f>
        <v>Riesgo Bajo-Moderado</v>
      </c>
    </row>
  </sheetData>
  <phoneticPr fontId="5" type="noConversion"/>
  <conditionalFormatting sqref="I1:I1048576">
    <cfRule type="containsText" dxfId="10" priority="1" operator="containsText" text="Riesgo ALTO">
      <formula>NOT(ISERROR(SEARCH("Riesgo ALTO",I1)))</formula>
    </cfRule>
    <cfRule type="containsText" dxfId="9" priority="2" operator="containsText" text="Riesgo MODERADO">
      <formula>NOT(ISERROR(SEARCH("Riesgo MODERADO",I1)))</formula>
    </cfRule>
    <cfRule type="containsText" dxfId="8" priority="3" operator="containsText" text="Riesgo BAJO">
      <formula>NOT(ISERROR(SEARCH("Riesgo BAJO",I1)))</formula>
    </cfRule>
  </conditionalFormatting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D449A-DFA6-497B-B4EE-79930BC9215B}">
  <dimension ref="A1:G13"/>
  <sheetViews>
    <sheetView workbookViewId="0">
      <selection activeCell="B21" sqref="B21"/>
    </sheetView>
  </sheetViews>
  <sheetFormatPr baseColWidth="10" defaultRowHeight="15" x14ac:dyDescent="0.25"/>
  <cols>
    <col min="3" max="3" width="15.5703125" bestFit="1" customWidth="1"/>
    <col min="4" max="4" width="15.7109375" bestFit="1" customWidth="1"/>
    <col min="5" max="5" width="18" bestFit="1" customWidth="1"/>
    <col min="6" max="6" width="13.42578125" bestFit="1" customWidth="1"/>
    <col min="7" max="7" width="14" bestFit="1" customWidth="1"/>
  </cols>
  <sheetData>
    <row r="1" spans="1:7" ht="15.75" customHeight="1" x14ac:dyDescent="0.25">
      <c r="A1" s="7" t="s">
        <v>28</v>
      </c>
      <c r="B1" s="7" t="s">
        <v>2</v>
      </c>
      <c r="C1" s="7" t="s">
        <v>53</v>
      </c>
      <c r="D1" s="7" t="s">
        <v>54</v>
      </c>
      <c r="E1" s="7" t="s">
        <v>55</v>
      </c>
      <c r="F1" s="7" t="s">
        <v>49</v>
      </c>
      <c r="G1" s="7" t="s">
        <v>50</v>
      </c>
    </row>
    <row r="2" spans="1:7" x14ac:dyDescent="0.25">
      <c r="A2" s="8" t="s">
        <v>56</v>
      </c>
      <c r="B2" s="8" t="s">
        <v>51</v>
      </c>
      <c r="C2" s="8">
        <v>55</v>
      </c>
      <c r="D2" s="8">
        <v>140</v>
      </c>
      <c r="E2" s="8">
        <v>160</v>
      </c>
      <c r="F2" s="8" t="s">
        <v>8</v>
      </c>
      <c r="G2" s="8">
        <v>3.1</v>
      </c>
    </row>
    <row r="3" spans="1:7" x14ac:dyDescent="0.25">
      <c r="A3" s="8" t="s">
        <v>56</v>
      </c>
      <c r="B3" s="8" t="s">
        <v>51</v>
      </c>
      <c r="C3" s="8">
        <v>55</v>
      </c>
      <c r="D3" s="8">
        <v>140</v>
      </c>
      <c r="E3" s="8">
        <v>160</v>
      </c>
      <c r="F3" s="8" t="s">
        <v>46</v>
      </c>
      <c r="G3" s="8">
        <v>6.2</v>
      </c>
    </row>
    <row r="4" spans="1:7" x14ac:dyDescent="0.25">
      <c r="A4" s="8" t="s">
        <v>56</v>
      </c>
      <c r="B4" s="8" t="s">
        <v>52</v>
      </c>
      <c r="C4" s="8">
        <v>55</v>
      </c>
      <c r="D4" s="8">
        <v>140</v>
      </c>
      <c r="E4" s="8">
        <v>160</v>
      </c>
      <c r="F4" s="8" t="s">
        <v>8</v>
      </c>
      <c r="G4" s="8">
        <v>1.8</v>
      </c>
    </row>
    <row r="5" spans="1:7" x14ac:dyDescent="0.25">
      <c r="A5" t="s">
        <v>59</v>
      </c>
      <c r="B5" t="s">
        <v>51</v>
      </c>
      <c r="C5">
        <v>80</v>
      </c>
      <c r="D5">
        <v>120</v>
      </c>
      <c r="E5">
        <v>190</v>
      </c>
      <c r="F5" t="s">
        <v>46</v>
      </c>
      <c r="G5">
        <v>7.75</v>
      </c>
    </row>
    <row r="13" spans="1:7" x14ac:dyDescent="0.25">
      <c r="E13" s="9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5B978-4E49-4A1C-B860-2F48D05AFACD}">
  <dimension ref="A1:H6"/>
  <sheetViews>
    <sheetView zoomScale="96" zoomScaleNormal="96" workbookViewId="0">
      <selection activeCell="E3" sqref="E3"/>
    </sheetView>
  </sheetViews>
  <sheetFormatPr baseColWidth="10" defaultRowHeight="15" x14ac:dyDescent="0.25"/>
  <cols>
    <col min="1" max="1" width="18" bestFit="1" customWidth="1"/>
    <col min="2" max="2" width="22.7109375" customWidth="1"/>
    <col min="4" max="4" width="30.5703125" customWidth="1"/>
    <col min="5" max="5" width="35" customWidth="1"/>
    <col min="7" max="7" width="23.85546875" customWidth="1"/>
    <col min="8" max="8" width="49.85546875" customWidth="1"/>
  </cols>
  <sheetData>
    <row r="1" spans="1:8" x14ac:dyDescent="0.25">
      <c r="A1" t="s">
        <v>43</v>
      </c>
      <c r="B1" t="s">
        <v>44</v>
      </c>
      <c r="D1" t="s">
        <v>1</v>
      </c>
      <c r="E1" t="s">
        <v>47</v>
      </c>
      <c r="G1" t="s">
        <v>2</v>
      </c>
      <c r="H1" t="s">
        <v>48</v>
      </c>
    </row>
    <row r="2" spans="1:8" x14ac:dyDescent="0.25">
      <c r="A2" t="s">
        <v>19</v>
      </c>
      <c r="B2">
        <f>COUNTIF(Calc!I:I,"Riesgo BAJO")</f>
        <v>0</v>
      </c>
      <c r="D2">
        <f>Pacientes!B4</f>
        <v>81</v>
      </c>
      <c r="E2">
        <f>Calc!H2</f>
        <v>7.2899999999999991</v>
      </c>
      <c r="G2" t="s">
        <v>7</v>
      </c>
      <c r="H2">
        <f>AVERAGEIF(Pacientes!C:C,"Hombre",Calc!H:H)</f>
        <v>8.5949999999999989</v>
      </c>
    </row>
    <row r="3" spans="1:8" x14ac:dyDescent="0.25">
      <c r="A3" t="s">
        <v>20</v>
      </c>
      <c r="B3">
        <f>COUNTIF(Calc!I:I,"Riesgo MODERADO")</f>
        <v>0</v>
      </c>
      <c r="D3">
        <f>Pacientes!B5</f>
        <v>58</v>
      </c>
      <c r="E3">
        <f>Calc!H3</f>
        <v>8.36</v>
      </c>
      <c r="G3" t="s">
        <v>9</v>
      </c>
      <c r="H3">
        <f>AVERAGEIF(Pacientes!C:C,"Mujer",Calc!H:H)</f>
        <v>2.9499999999999993</v>
      </c>
    </row>
    <row r="4" spans="1:8" x14ac:dyDescent="0.25">
      <c r="A4" t="s">
        <v>21</v>
      </c>
      <c r="B4">
        <f>COUNTIF(Calc!I:I,"Riesgo ALTO")</f>
        <v>3</v>
      </c>
      <c r="D4">
        <f>Pacientes!B6</f>
        <v>67</v>
      </c>
      <c r="E4">
        <f>Calc!H4</f>
        <v>14.580000000000002</v>
      </c>
    </row>
    <row r="5" spans="1:8" x14ac:dyDescent="0.25">
      <c r="D5">
        <f>Pacientes!B7</f>
        <v>42</v>
      </c>
      <c r="E5">
        <f>Calc!H5</f>
        <v>3.1499999999999986</v>
      </c>
    </row>
    <row r="6" spans="1:8" x14ac:dyDescent="0.25">
      <c r="D6">
        <f>Pacientes!B8</f>
        <v>55</v>
      </c>
      <c r="E6">
        <f>Calc!H6</f>
        <v>6.9499999999999993</v>
      </c>
    </row>
  </sheetData>
  <pageMargins left="0.7" right="0.7" top="0.75" bottom="0.75" header="0.3" footer="0.3"/>
  <drawing r:id="rId1"/>
  <tableParts count="3">
    <tablePart r:id="rId2"/>
    <tablePart r:id="rId3"/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"/>
  <sheetViews>
    <sheetView workbookViewId="0">
      <selection activeCell="D4" sqref="D4"/>
    </sheetView>
  </sheetViews>
  <sheetFormatPr baseColWidth="10" defaultColWidth="9.140625" defaultRowHeight="15" x14ac:dyDescent="0.25"/>
  <cols>
    <col min="2" max="2" width="15.5703125" customWidth="1"/>
    <col min="3" max="3" width="18" bestFit="1" customWidth="1"/>
    <col min="4" max="4" width="54.85546875" bestFit="1" customWidth="1"/>
    <col min="8" max="8" width="0.28515625" customWidth="1"/>
    <col min="9" max="9" width="9.140625" hidden="1" customWidth="1"/>
    <col min="10" max="10" width="5.7109375" hidden="1" customWidth="1"/>
    <col min="11" max="11" width="9.140625" hidden="1" customWidth="1"/>
  </cols>
  <sheetData>
    <row r="1" spans="1:11" ht="23.25" x14ac:dyDescent="0.35">
      <c r="A1" s="4" t="s">
        <v>42</v>
      </c>
      <c r="B1" s="5"/>
      <c r="C1" s="5"/>
      <c r="D1" s="5"/>
      <c r="E1" s="5"/>
      <c r="F1" s="5"/>
      <c r="G1" s="5"/>
      <c r="H1" s="5"/>
      <c r="I1" s="5"/>
      <c r="J1" s="5"/>
      <c r="K1" s="5"/>
    </row>
    <row r="3" spans="1:11" x14ac:dyDescent="0.25">
      <c r="A3" t="s">
        <v>0</v>
      </c>
      <c r="B3" t="s">
        <v>18</v>
      </c>
      <c r="C3" t="s">
        <v>11</v>
      </c>
      <c r="D3" t="s">
        <v>12</v>
      </c>
    </row>
    <row r="4" spans="1:11" x14ac:dyDescent="0.25">
      <c r="A4" t="str">
        <f>Calc!A2</f>
        <v>P001</v>
      </c>
      <c r="B4">
        <f>Calc!H2</f>
        <v>7.2899999999999991</v>
      </c>
      <c r="C4" t="str">
        <f>Calc!I2</f>
        <v>Riesgo Bajo-Moderado</v>
      </c>
      <c r="D4" t="str">
        <f>IFERROR(VLOOKUP(C4,Lookups!$A$2:$B$4,2,FALSE),"")</f>
        <v>Estilo de vida saludable y control periódico</v>
      </c>
    </row>
    <row r="5" spans="1:11" x14ac:dyDescent="0.25">
      <c r="A5" t="str">
        <f>Calc!A3</f>
        <v>P002</v>
      </c>
      <c r="B5">
        <f>Calc!H3</f>
        <v>8.36</v>
      </c>
      <c r="C5" t="str">
        <f>Calc!I3</f>
        <v>Riesgo Alto</v>
      </c>
      <c r="D5" t="str">
        <f>IFERROR(VLOOKUP(C5,Lookups!$A$2:$B$4,2,FALSE),"")</f>
        <v>Iniciar estatina alta intensidad y seguimiento estrecho</v>
      </c>
    </row>
    <row r="6" spans="1:11" x14ac:dyDescent="0.25">
      <c r="A6" t="str">
        <f>Calc!A4</f>
        <v>P003</v>
      </c>
      <c r="B6">
        <f>Calc!H4</f>
        <v>14.580000000000002</v>
      </c>
      <c r="C6" t="str">
        <f>Calc!I4</f>
        <v>Riesgo Muy Alto</v>
      </c>
      <c r="D6" t="str">
        <f>IFERROR(VLOOKUP(C6,Lookups!$A$2:$B$4,2,FALSE),"")</f>
        <v/>
      </c>
    </row>
    <row r="7" spans="1:11" x14ac:dyDescent="0.25">
      <c r="A7" t="str">
        <f>Calc!A5</f>
        <v>P004</v>
      </c>
      <c r="B7">
        <f>Calc!H5</f>
        <v>3.1499999999999986</v>
      </c>
      <c r="C7" t="str">
        <f>Calc!I5</f>
        <v>Riesgo Bajo-Moderado</v>
      </c>
      <c r="D7" t="str">
        <f>IFERROR(VLOOKUP(C7,Lookups!$A$2:$B$4,2,FALSE),"")</f>
        <v>Estilo de vida saludable y control periódico</v>
      </c>
    </row>
    <row r="8" spans="1:11" x14ac:dyDescent="0.25">
      <c r="A8" s="1" t="str">
        <f>Calc!A6</f>
        <v>P005</v>
      </c>
      <c r="B8">
        <f>Calc!H6</f>
        <v>6.9499999999999993</v>
      </c>
      <c r="C8" t="str">
        <f>Calc!I6</f>
        <v>Riesgo Alto</v>
      </c>
      <c r="D8" s="6" t="str">
        <f>IFERROR(VLOOKUP(C8,Lookups!$A$2:$B$4,2,FALSE),"")</f>
        <v>Iniciar estatina alta intensidad y seguimiento estrecho</v>
      </c>
    </row>
    <row r="9" spans="1:11" x14ac:dyDescent="0.25">
      <c r="A9" s="1" t="str">
        <f>Calc!A7</f>
        <v>P006</v>
      </c>
      <c r="B9">
        <f>Calc!H7</f>
        <v>3.5500000000000007</v>
      </c>
      <c r="C9" t="str">
        <f>Calc!I7</f>
        <v>Riesgo Bajo-Moderado</v>
      </c>
      <c r="D9" s="6" t="str">
        <f>IFERROR(VLOOKUP(C9,Lookups!$A$2:$B$4,2,FALSE),"")</f>
        <v>Estilo de vida saludable y control periódico</v>
      </c>
    </row>
    <row r="10" spans="1:11" x14ac:dyDescent="0.25">
      <c r="A10" s="1" t="str">
        <f>Calc!A8</f>
        <v>P007</v>
      </c>
      <c r="B10">
        <f>Calc!H8</f>
        <v>9.2999999999999972</v>
      </c>
      <c r="C10" t="str">
        <f>Calc!I8</f>
        <v>Riesgo Alto</v>
      </c>
      <c r="D10" s="6" t="str">
        <f>IFERROR(VLOOKUP(C10,Lookups!$A$2:$B$4,2,FALSE),"")</f>
        <v>Iniciar estatina alta intensidad y seguimiento estrecho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selection activeCell="B11" sqref="B11"/>
    </sheetView>
  </sheetViews>
  <sheetFormatPr baseColWidth="10" defaultColWidth="9.140625" defaultRowHeight="15" x14ac:dyDescent="0.25"/>
  <cols>
    <col min="1" max="1" width="21.28515625" bestFit="1" customWidth="1"/>
    <col min="2" max="2" width="54.85546875" customWidth="1"/>
    <col min="4" max="4" width="9.140625" customWidth="1"/>
  </cols>
  <sheetData>
    <row r="1" spans="1:2" x14ac:dyDescent="0.25">
      <c r="A1" t="s">
        <v>11</v>
      </c>
      <c r="B1" t="s">
        <v>12</v>
      </c>
    </row>
    <row r="2" spans="1:2" x14ac:dyDescent="0.25">
      <c r="A2" t="s">
        <v>63</v>
      </c>
      <c r="B2" t="s">
        <v>13</v>
      </c>
    </row>
    <row r="3" spans="1:2" x14ac:dyDescent="0.25">
      <c r="A3" t="s">
        <v>20</v>
      </c>
      <c r="B3" t="s">
        <v>14</v>
      </c>
    </row>
    <row r="4" spans="1:2" x14ac:dyDescent="0.25">
      <c r="A4" t="s">
        <v>21</v>
      </c>
      <c r="B4" t="s">
        <v>15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6"/>
  <sheetViews>
    <sheetView workbookViewId="0">
      <selection activeCell="C15" sqref="C15"/>
    </sheetView>
  </sheetViews>
  <sheetFormatPr baseColWidth="10" defaultColWidth="9.140625" defaultRowHeight="15" x14ac:dyDescent="0.25"/>
  <cols>
    <col min="1" max="1" width="49.28515625" customWidth="1"/>
  </cols>
  <sheetData>
    <row r="1" spans="1:6" x14ac:dyDescent="0.25">
      <c r="A1" s="13" t="s">
        <v>30</v>
      </c>
      <c r="B1" s="11"/>
      <c r="C1" s="11"/>
      <c r="D1" s="11"/>
      <c r="E1" s="11"/>
      <c r="F1" s="11"/>
    </row>
    <row r="2" spans="1:6" ht="34.5" customHeight="1" x14ac:dyDescent="0.25">
      <c r="A2" s="12" t="s">
        <v>31</v>
      </c>
      <c r="B2" s="11"/>
      <c r="C2" s="11"/>
      <c r="D2" s="11"/>
      <c r="E2" s="11"/>
      <c r="F2" s="11"/>
    </row>
    <row r="3" spans="1:6" ht="33" customHeight="1" x14ac:dyDescent="0.25">
      <c r="A3" s="12" t="s">
        <v>32</v>
      </c>
      <c r="B3" s="11"/>
      <c r="C3" s="11"/>
      <c r="D3" s="11"/>
      <c r="E3" s="11"/>
      <c r="F3" s="11"/>
    </row>
    <row r="4" spans="1:6" ht="31.5" customHeight="1" x14ac:dyDescent="0.25">
      <c r="A4" s="12" t="s">
        <v>33</v>
      </c>
      <c r="B4" s="11"/>
      <c r="C4" s="11"/>
      <c r="D4" s="11"/>
      <c r="E4" s="11"/>
      <c r="F4" s="11"/>
    </row>
    <row r="5" spans="1:6" ht="31.5" customHeight="1" x14ac:dyDescent="0.25">
      <c r="A5" s="12" t="s">
        <v>34</v>
      </c>
      <c r="B5" s="11"/>
      <c r="C5" s="11"/>
      <c r="D5" s="11"/>
      <c r="E5" s="11"/>
      <c r="F5" s="11"/>
    </row>
    <row r="6" spans="1:6" ht="30.75" customHeight="1" x14ac:dyDescent="0.25">
      <c r="A6" s="12" t="s">
        <v>35</v>
      </c>
      <c r="B6" s="11"/>
      <c r="C6" s="11"/>
      <c r="D6" s="11"/>
      <c r="E6" s="11"/>
      <c r="F6" s="11"/>
    </row>
  </sheetData>
  <mergeCells count="6">
    <mergeCell ref="A6:F6"/>
    <mergeCell ref="A1:F1"/>
    <mergeCell ref="A2:F2"/>
    <mergeCell ref="A3:F3"/>
    <mergeCell ref="A4:F4"/>
    <mergeCell ref="A5:F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61C9B-2875-4A4A-95EB-6631F984F71C}">
  <dimension ref="A1:F6"/>
  <sheetViews>
    <sheetView zoomScale="93" zoomScaleNormal="93" workbookViewId="0">
      <selection activeCell="J16" sqref="J16"/>
    </sheetView>
  </sheetViews>
  <sheetFormatPr baseColWidth="10" defaultRowHeight="15" x14ac:dyDescent="0.25"/>
  <cols>
    <col min="6" max="6" width="37.85546875" customWidth="1"/>
  </cols>
  <sheetData>
    <row r="1" spans="1:6" x14ac:dyDescent="0.25">
      <c r="A1" s="13" t="s">
        <v>36</v>
      </c>
      <c r="B1" s="11"/>
      <c r="C1" s="11"/>
      <c r="D1" s="11"/>
      <c r="E1" s="11"/>
      <c r="F1" s="11"/>
    </row>
    <row r="2" spans="1:6" ht="36.75" customHeight="1" x14ac:dyDescent="0.25">
      <c r="A2" s="14" t="s">
        <v>37</v>
      </c>
      <c r="B2" s="15"/>
      <c r="C2" s="15"/>
      <c r="D2" s="15"/>
      <c r="E2" s="15"/>
      <c r="F2" s="16"/>
    </row>
    <row r="3" spans="1:6" ht="36.75" customHeight="1" x14ac:dyDescent="0.25">
      <c r="A3" s="14" t="s">
        <v>38</v>
      </c>
      <c r="B3" s="15"/>
      <c r="C3" s="15"/>
      <c r="D3" s="15"/>
      <c r="E3" s="15"/>
      <c r="F3" s="16"/>
    </row>
    <row r="4" spans="1:6" ht="38.25" customHeight="1" x14ac:dyDescent="0.25">
      <c r="A4" s="14" t="s">
        <v>39</v>
      </c>
      <c r="B4" s="15"/>
      <c r="C4" s="15"/>
      <c r="D4" s="15"/>
      <c r="E4" s="15"/>
      <c r="F4" s="16"/>
    </row>
    <row r="5" spans="1:6" ht="38.25" customHeight="1" x14ac:dyDescent="0.25">
      <c r="A5" s="14" t="s">
        <v>40</v>
      </c>
      <c r="B5" s="15"/>
      <c r="C5" s="15"/>
      <c r="D5" s="15"/>
      <c r="E5" s="15"/>
      <c r="F5" s="16"/>
    </row>
    <row r="6" spans="1:6" ht="26.25" customHeight="1" x14ac:dyDescent="0.25">
      <c r="A6" s="14" t="s">
        <v>41</v>
      </c>
      <c r="B6" s="15"/>
      <c r="C6" s="15"/>
      <c r="D6" s="15"/>
      <c r="E6" s="15"/>
      <c r="F6" s="16"/>
    </row>
  </sheetData>
  <mergeCells count="6">
    <mergeCell ref="A6:F6"/>
    <mergeCell ref="A1:F1"/>
    <mergeCell ref="A2:F2"/>
    <mergeCell ref="A3:F3"/>
    <mergeCell ref="A4:F4"/>
    <mergeCell ref="A5:F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Pacientes</vt:lpstr>
      <vt:lpstr>Calc</vt:lpstr>
      <vt:lpstr>SCORE2_TABLA</vt:lpstr>
      <vt:lpstr>Gráficos</vt:lpstr>
      <vt:lpstr>ISSUNNE_Protocolo</vt:lpstr>
      <vt:lpstr>Lookups</vt:lpstr>
      <vt:lpstr>About_ISSUNNE</vt:lpstr>
      <vt:lpstr>About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Hernán</cp:lastModifiedBy>
  <dcterms:created xsi:type="dcterms:W3CDTF">2026-01-09T14:07:35Z</dcterms:created>
  <dcterms:modified xsi:type="dcterms:W3CDTF">2026-01-23T14:56:54Z</dcterms:modified>
</cp:coreProperties>
</file>