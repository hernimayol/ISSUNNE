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13_ncr:1_{5B5677C0-44F3-4105-868D-52B4A6E77E2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LCULADORA" sheetId="1" r:id="rId1"/>
    <sheet name="PACIENTES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2" l="1"/>
  <c r="I3" i="2"/>
  <c r="K2" i="2"/>
  <c r="J2" i="2"/>
  <c r="G2" i="2"/>
  <c r="E14" i="1"/>
  <c r="E15" i="1" s="1"/>
  <c r="E13" i="1"/>
  <c r="E11" i="1"/>
  <c r="E10" i="1"/>
  <c r="E9" i="1"/>
  <c r="E8" i="1"/>
  <c r="E7" i="1"/>
  <c r="E12" i="1" s="1"/>
  <c r="B4" i="1"/>
</calcChain>
</file>

<file path=xl/sharedStrings.xml><?xml version="1.0" encoding="utf-8"?>
<sst xmlns="http://schemas.openxmlformats.org/spreadsheetml/2006/main" count="53" uniqueCount="47">
  <si>
    <t>UPCM – ISSUNNE | Estratificación Riesgo Cardiovascular (ESC 2021 / SCORE2)</t>
  </si>
  <si>
    <t>Completar campos en azul. Se calcula puntaje y categoría BAJO/MODERADO/ALTO. Incluye link a HeartScore.</t>
  </si>
  <si>
    <t>Acceso a HeartScore (calculadora oficial)</t>
  </si>
  <si>
    <t>DATOS DEL PACIENTE (ingreso)</t>
  </si>
  <si>
    <t>CÁLCULOS (automático)</t>
  </si>
  <si>
    <t>ID_UPCM</t>
  </si>
  <si>
    <t>Ratio CT/HDL</t>
  </si>
  <si>
    <t>Edad (años)</t>
  </si>
  <si>
    <t>Puntos Edad</t>
  </si>
  <si>
    <t>Sexo (H/M)</t>
  </si>
  <si>
    <t>Puntos Sexo</t>
  </si>
  <si>
    <t>PAS sistólica (mmHg)</t>
  </si>
  <si>
    <t>Puntos PAS</t>
  </si>
  <si>
    <t>Colesterol total (mg/dL)</t>
  </si>
  <si>
    <t>Puntos Col. Total</t>
  </si>
  <si>
    <t>Colesterol HDL (mg/dL)</t>
  </si>
  <si>
    <t>Puntos Ratio CT/HDL</t>
  </si>
  <si>
    <t>Fumador (Sí/No)</t>
  </si>
  <si>
    <t>Puntos Tabaquismo</t>
  </si>
  <si>
    <t>PUNTAJE TOTAL</t>
  </si>
  <si>
    <t>RIESGO (BAJO/MODERADO/ALTO)</t>
  </si>
  <si>
    <t>Edad</t>
  </si>
  <si>
    <t>Sexo</t>
  </si>
  <si>
    <t>PAS</t>
  </si>
  <si>
    <t>Col_Total</t>
  </si>
  <si>
    <t>HDL</t>
  </si>
  <si>
    <t>Ratio_CT_HDL</t>
  </si>
  <si>
    <t>Fumador</t>
  </si>
  <si>
    <t>Puntaje_Total</t>
  </si>
  <si>
    <t>Riesgo</t>
  </si>
  <si>
    <t>Link_HeartScore</t>
  </si>
  <si>
    <t>CONFIGURACIÓN UPCM – ISSUNNE (ESC 2021 / SCORE2)</t>
  </si>
  <si>
    <t>Listas (para validación de datos)</t>
  </si>
  <si>
    <t>H</t>
  </si>
  <si>
    <t>M</t>
  </si>
  <si>
    <t>Sí</t>
  </si>
  <si>
    <t>No</t>
  </si>
  <si>
    <t>Umbrales institucionales (triage)</t>
  </si>
  <si>
    <t>Puntaje total ≤</t>
  </si>
  <si>
    <t>BAJO</t>
  </si>
  <si>
    <t>MODERADO</t>
  </si>
  <si>
    <t>Puntaje total ≥</t>
  </si>
  <si>
    <t>ALTO</t>
  </si>
  <si>
    <t>Link oficial HeartScore (SCORE2 / SCORE2-OP)</t>
  </si>
  <si>
    <t>https://www.heartscore.org/en_GB/</t>
  </si>
  <si>
    <t>Notas</t>
  </si>
  <si>
    <t>Este archivo sirve para estratificación inicial (bajo/moderado/alto) con factores base del SCORE2. No reemplaza el cálculo formal HeartScore/ESC.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</si>
</sst>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u/>
      <sz val="11"/>
      <color rgb="FF0563C1"/>
      <name val="Calibri"/>
    </font>
    <font>
      <sz val="11"/>
      <color rgb="FF404040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0" fillId="0" borderId="0" xfId="0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workbookViewId="0">
      <pane ySplit="6" topLeftCell="A16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2" customWidth="1"/>
    <col min="4" max="4" width="34" customWidth="1"/>
    <col min="5" max="5" width="24" customWidth="1"/>
    <col min="6" max="8" width="2" customWidth="1"/>
  </cols>
  <sheetData>
    <row r="1" spans="1:8" ht="18.75" x14ac:dyDescent="0.3">
      <c r="A1" s="16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1</v>
      </c>
      <c r="B2" s="14"/>
      <c r="C2" s="14"/>
      <c r="D2" s="14"/>
      <c r="E2" s="14"/>
      <c r="F2" s="14"/>
      <c r="G2" s="14"/>
      <c r="H2" s="14"/>
    </row>
    <row r="4" spans="1:8" x14ac:dyDescent="0.25">
      <c r="A4" s="1" t="s">
        <v>2</v>
      </c>
      <c r="B4" s="13" t="str">
        <f>HYPERLINK("https://www.heartscore.org/en_GB/","Abrir HeartScore (SCORE2 / SCORE2-OP)")</f>
        <v>Abrir HeartScore (SCORE2 / SCORE2-OP)</v>
      </c>
      <c r="C4" s="14"/>
      <c r="D4" s="14"/>
      <c r="E4" s="14"/>
      <c r="F4" s="14"/>
      <c r="G4" s="14"/>
      <c r="H4" s="14"/>
    </row>
    <row r="6" spans="1:8" x14ac:dyDescent="0.25">
      <c r="A6" s="12" t="s">
        <v>3</v>
      </c>
      <c r="B6" s="12"/>
      <c r="C6" s="12"/>
      <c r="D6" s="12" t="s">
        <v>4</v>
      </c>
      <c r="E6" s="12"/>
      <c r="F6" s="12"/>
      <c r="G6" s="12"/>
      <c r="H6" s="12"/>
    </row>
    <row r="7" spans="1:8" x14ac:dyDescent="0.25">
      <c r="A7" s="3" t="s">
        <v>5</v>
      </c>
      <c r="B7" s="4"/>
      <c r="C7" s="5"/>
      <c r="D7" s="3" t="s">
        <v>6</v>
      </c>
      <c r="E7" s="6" t="str">
        <f>IFERROR($B$11/$B$12,"")</f>
        <v/>
      </c>
      <c r="F7" s="5"/>
      <c r="G7" s="5"/>
      <c r="H7" s="5"/>
    </row>
    <row r="8" spans="1:8" x14ac:dyDescent="0.25">
      <c r="A8" s="3" t="s">
        <v>7</v>
      </c>
      <c r="B8" s="7"/>
      <c r="C8" s="5"/>
      <c r="D8" s="3" t="s">
        <v>8</v>
      </c>
      <c r="E8" s="6" t="str">
        <f>IF($B$8="","",IF($B$8&lt;45,0,IF($B$8&lt;55,1,IF($B$8&lt;65,2,3))))</f>
        <v/>
      </c>
      <c r="F8" s="5"/>
      <c r="G8" s="5"/>
      <c r="H8" s="5"/>
    </row>
    <row r="9" spans="1:8" x14ac:dyDescent="0.25">
      <c r="A9" s="3" t="s">
        <v>9</v>
      </c>
      <c r="B9" s="4"/>
      <c r="C9" s="5"/>
      <c r="D9" s="3" t="s">
        <v>10</v>
      </c>
      <c r="E9" s="6" t="str">
        <f>IF($B$9="","",IF($B$9="H",1,0))</f>
        <v/>
      </c>
      <c r="F9" s="5"/>
      <c r="G9" s="5"/>
      <c r="H9" s="5"/>
    </row>
    <row r="10" spans="1:8" x14ac:dyDescent="0.25">
      <c r="A10" s="3" t="s">
        <v>11</v>
      </c>
      <c r="B10" s="7"/>
      <c r="C10" s="5"/>
      <c r="D10" s="3" t="s">
        <v>12</v>
      </c>
      <c r="E10" s="6" t="str">
        <f>IF($B$10="","",IF($B$10&lt;130,0,IF($B$10&lt;140,1,IF($B$10&lt;160,2,3))))</f>
        <v/>
      </c>
      <c r="F10" s="5"/>
      <c r="G10" s="5"/>
      <c r="H10" s="5"/>
    </row>
    <row r="11" spans="1:8" x14ac:dyDescent="0.25">
      <c r="A11" s="3" t="s">
        <v>13</v>
      </c>
      <c r="B11" s="7"/>
      <c r="C11" s="5"/>
      <c r="D11" s="3" t="s">
        <v>14</v>
      </c>
      <c r="E11" s="6" t="str">
        <f>IF($B$11="","",IF($B$11&lt;200,0,IF($B$11&lt;240,1,2)))</f>
        <v/>
      </c>
      <c r="F11" s="5"/>
      <c r="G11" s="5"/>
      <c r="H11" s="5"/>
    </row>
    <row r="12" spans="1:8" x14ac:dyDescent="0.25">
      <c r="A12" s="3" t="s">
        <v>15</v>
      </c>
      <c r="B12" s="7"/>
      <c r="C12" s="5"/>
      <c r="D12" s="3" t="s">
        <v>16</v>
      </c>
      <c r="E12" s="6" t="str">
        <f>IF($E$7="","",IF($E$7&lt;4,0,IF($E$7&lt;=5,1,2)))</f>
        <v/>
      </c>
      <c r="F12" s="5"/>
      <c r="G12" s="5"/>
      <c r="H12" s="5"/>
    </row>
    <row r="13" spans="1:8" x14ac:dyDescent="0.25">
      <c r="A13" s="3" t="s">
        <v>17</v>
      </c>
      <c r="B13" s="4"/>
      <c r="C13" s="5"/>
      <c r="D13" s="3" t="s">
        <v>18</v>
      </c>
      <c r="E13" s="6" t="str">
        <f>IF($B$13="","",IF($B$13="Sí",2,0))</f>
        <v/>
      </c>
      <c r="F13" s="5"/>
      <c r="G13" s="5"/>
      <c r="H13" s="5"/>
    </row>
    <row r="14" spans="1:8" x14ac:dyDescent="0.25">
      <c r="A14" s="5"/>
      <c r="B14" s="5"/>
      <c r="C14" s="5"/>
      <c r="D14" s="3" t="s">
        <v>19</v>
      </c>
      <c r="E14" s="8" t="str">
        <f>IF(COUNT($B$8,$B$9,$B$10,$B$11,$B$12,$B$13)&lt;6,"",SUM($E$8:$E$13))</f>
        <v/>
      </c>
      <c r="F14" s="5"/>
      <c r="G14" s="5"/>
      <c r="H14" s="5"/>
    </row>
    <row r="15" spans="1:8" x14ac:dyDescent="0.25">
      <c r="A15" s="5"/>
      <c r="B15" s="5"/>
      <c r="C15" s="5"/>
      <c r="D15" s="3" t="s">
        <v>20</v>
      </c>
      <c r="E15" s="8" t="str">
        <f>IF($E$14="","",IF($E$14&lt;=CONFIG!$B$8,CONFIG!$C$8,IF($E$14&lt;=CONFIG!$B$9,CONFIG!$C$9,CONFIG!$C$10)))</f>
        <v/>
      </c>
      <c r="F15" s="5"/>
      <c r="G15" s="5"/>
      <c r="H15" s="5"/>
    </row>
  </sheetData>
  <mergeCells count="5">
    <mergeCell ref="D6:H6"/>
    <mergeCell ref="B4:H4"/>
    <mergeCell ref="A2:H2"/>
    <mergeCell ref="A6:C6"/>
    <mergeCell ref="A1:H1"/>
  </mergeCells>
  <conditionalFormatting sqref="E15">
    <cfRule type="expression" dxfId="5" priority="1">
      <formula>$E$15="BAJO"</formula>
    </cfRule>
    <cfRule type="expression" dxfId="4" priority="2">
      <formula>$E$15="MODERADO"</formula>
    </cfRule>
    <cfRule type="expression" dxfId="3" priority="3">
      <formula>$E$15="ALTO"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CONFIG!$B$4:$C$4</xm:f>
          </x14:formula1>
          <xm:sqref>B9</xm:sqref>
        </x14:dataValidation>
        <x14:dataValidation type="list" allowBlank="1" xr:uid="{00000000-0002-0000-0000-000001000000}">
          <x14:formula1>
            <xm:f>CONFIG!$B$5:$C$5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showGridLines="0" workbookViewId="0">
      <pane ySplit="1" topLeftCell="A2" activePane="bottomLeft" state="frozen"/>
      <selection pane="bottomLeft" activeCell="J2" sqref="J2"/>
    </sheetView>
  </sheetViews>
  <sheetFormatPr baseColWidth="10" defaultColWidth="9.140625" defaultRowHeight="15" x14ac:dyDescent="0.25"/>
  <cols>
    <col min="1" max="1" width="14" customWidth="1"/>
    <col min="2" max="4" width="8" customWidth="1"/>
    <col min="5" max="5" width="12" customWidth="1"/>
    <col min="6" max="6" width="10" customWidth="1"/>
    <col min="7" max="7" width="12" customWidth="1"/>
    <col min="8" max="8" width="10" customWidth="1"/>
    <col min="9" max="10" width="12" customWidth="1"/>
    <col min="11" max="11" width="16" customWidth="1"/>
  </cols>
  <sheetData>
    <row r="1" spans="1:11" ht="30" x14ac:dyDescent="0.25">
      <c r="A1" s="9" t="s">
        <v>5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spans="1:11" x14ac:dyDescent="0.25">
      <c r="A2" s="6">
        <v>1</v>
      </c>
      <c r="B2" s="10">
        <v>55</v>
      </c>
      <c r="C2" s="10" t="s">
        <v>33</v>
      </c>
      <c r="D2" s="10">
        <v>140</v>
      </c>
      <c r="E2" s="10">
        <v>200</v>
      </c>
      <c r="F2" s="10">
        <v>50</v>
      </c>
      <c r="G2" s="10">
        <f>IFERROR(E2/F2,"")</f>
        <v>4</v>
      </c>
      <c r="H2" s="10" t="s">
        <v>35</v>
      </c>
      <c r="I2" s="10" t="str">
        <f>IF(COUNT(B2,C2,D2,E2,F2,H2)&lt;6,"",SUM(IF(B2&lt;45,0,IF(B2&lt;55,1,IF(B2&lt;65,2,3))),IF(C2="H",1,0),IF(D2&lt;130,0,IF(D2&lt;140,1,IF(D2&lt;160,2,3))),IF(E2&lt;200,0,IF(E2&lt;240,1,2)),IF(G2&lt;4,0,IF(G2&lt;=5,1,2)),IF(H2="Sí",2,0)))</f>
        <v/>
      </c>
      <c r="J2" s="10" t="str">
        <f>IF(I2="","",IF(I2&lt;=CONFIG!$B$8,CONFIG!$C$8,IF(I2&lt;=CONFIG!$B$9,CONFIG!$C$9,CONFIG!$C$10)))</f>
        <v/>
      </c>
      <c r="K2" s="11" t="str">
        <f>HYPERLINK("https://www.heartscore.org/en_GB/","HeartScore")</f>
        <v>HeartScore</v>
      </c>
    </row>
    <row r="3" spans="1:11" x14ac:dyDescent="0.25">
      <c r="A3" s="6"/>
      <c r="B3" s="10"/>
      <c r="C3" s="10"/>
      <c r="D3" s="10"/>
      <c r="E3" s="10"/>
      <c r="F3" s="10"/>
      <c r="G3" s="10"/>
      <c r="H3" s="10"/>
      <c r="I3" s="10" t="str">
        <f>IF(COUNT(B3,C3,D3,E3,F3,H3)&lt;6,"",SUM(IF(B3&lt;45,0,IF(B3&lt;55,1,IF(B3&lt;65,2,3))),IF(C3="H",1,0),IF(D3&lt;130,0,IF(D3&lt;140,1,IF(D3&lt;160,2,3))),IF(E3&lt;200,0,IF(E3&lt;240,1,2)),IF(G3&lt;4,0,IF(G3&lt;=5,1,2)),IF(H3="Sí",2,0)))</f>
        <v/>
      </c>
      <c r="J3" s="10"/>
      <c r="K3" s="10"/>
    </row>
    <row r="4" spans="1:11" x14ac:dyDescent="0.25">
      <c r="A4" s="6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6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6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6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6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6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6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6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6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6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6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6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6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6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6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6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6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6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6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6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6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6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6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6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6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6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6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6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6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6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6"/>
      <c r="B39" s="10"/>
      <c r="C39" s="10"/>
      <c r="D39" s="10"/>
      <c r="E39" s="10"/>
      <c r="F39" s="10"/>
      <c r="G39" s="10"/>
      <c r="H39" s="10"/>
      <c r="I39" s="10"/>
      <c r="J39" s="10"/>
      <c r="K39" s="10"/>
    </row>
  </sheetData>
  <conditionalFormatting sqref="J2:J1000">
    <cfRule type="expression" dxfId="2" priority="1">
      <formula>$J2="BAJO"</formula>
    </cfRule>
    <cfRule type="expression" dxfId="1" priority="2">
      <formula>$J2="MODERADO"</formula>
    </cfRule>
    <cfRule type="expression" dxfId="0" priority="3">
      <formula>$J2="ALTO"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CONFIG!$B$4:$C$4</xm:f>
          </x14:formula1>
          <xm:sqref>C2:C1000</xm:sqref>
        </x14:dataValidation>
        <x14:dataValidation type="list" allowBlank="1" xr:uid="{00000000-0002-0000-0100-000001000000}">
          <x14:formula1>
            <xm:f>CONFIG!$B$5:$C$5</xm:f>
          </x14:formula1>
          <xm:sqref>H2:H1000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selection activeCell="B21" sqref="B21"/>
    </sheetView>
  </sheetViews>
  <sheetFormatPr baseColWidth="10" defaultColWidth="9.140625" defaultRowHeight="15" x14ac:dyDescent="0.25"/>
  <cols>
    <col min="1" max="1" width="36" customWidth="1"/>
    <col min="2" max="2" width="30" customWidth="1"/>
    <col min="3" max="3" width="16" customWidth="1"/>
    <col min="4" max="6" width="14" customWidth="1"/>
  </cols>
  <sheetData>
    <row r="1" spans="1:6" ht="18.75" x14ac:dyDescent="0.3">
      <c r="A1" s="16" t="s">
        <v>31</v>
      </c>
      <c r="B1" s="14"/>
      <c r="C1" s="14"/>
      <c r="D1" s="14"/>
      <c r="E1" s="14"/>
      <c r="F1" s="14"/>
    </row>
    <row r="3" spans="1:6" x14ac:dyDescent="0.25">
      <c r="A3" s="1" t="s">
        <v>32</v>
      </c>
    </row>
    <row r="4" spans="1:6" x14ac:dyDescent="0.25">
      <c r="A4" s="6" t="s">
        <v>22</v>
      </c>
      <c r="B4" s="10" t="s">
        <v>33</v>
      </c>
      <c r="C4" s="10" t="s">
        <v>34</v>
      </c>
    </row>
    <row r="5" spans="1:6" x14ac:dyDescent="0.25">
      <c r="A5" s="6" t="s">
        <v>27</v>
      </c>
      <c r="B5" s="10" t="s">
        <v>35</v>
      </c>
      <c r="C5" s="10" t="s">
        <v>36</v>
      </c>
    </row>
    <row r="7" spans="1:6" x14ac:dyDescent="0.25">
      <c r="A7" s="1" t="s">
        <v>37</v>
      </c>
    </row>
    <row r="8" spans="1:6" x14ac:dyDescent="0.25">
      <c r="A8" s="6" t="s">
        <v>38</v>
      </c>
      <c r="B8" s="6">
        <v>3</v>
      </c>
      <c r="C8" s="6" t="s">
        <v>39</v>
      </c>
    </row>
    <row r="9" spans="1:6" x14ac:dyDescent="0.25">
      <c r="A9" s="6" t="s">
        <v>38</v>
      </c>
      <c r="B9" s="6">
        <v>6</v>
      </c>
      <c r="C9" s="6" t="s">
        <v>40</v>
      </c>
    </row>
    <row r="10" spans="1:6" x14ac:dyDescent="0.25">
      <c r="A10" s="6" t="s">
        <v>41</v>
      </c>
      <c r="B10" s="6">
        <v>7</v>
      </c>
      <c r="C10" s="6" t="s">
        <v>42</v>
      </c>
    </row>
    <row r="12" spans="1:6" x14ac:dyDescent="0.25">
      <c r="A12" s="1" t="s">
        <v>43</v>
      </c>
      <c r="B12" s="2" t="s">
        <v>44</v>
      </c>
    </row>
    <row r="14" spans="1:6" x14ac:dyDescent="0.25">
      <c r="A14" s="1" t="s">
        <v>45</v>
      </c>
    </row>
    <row r="15" spans="1:6" x14ac:dyDescent="0.25">
      <c r="A15" s="17" t="s">
        <v>46</v>
      </c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</sheetData>
  <mergeCells count="2">
    <mergeCell ref="A1:F1"/>
    <mergeCell ref="A15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CALCULADORA</vt:lpstr>
      <vt:lpstr>PACIENTES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2026-01-13T13:35:03Z</dcterms:created>
  <dcterms:modified xsi:type="dcterms:W3CDTF">2026-01-13T14:40:30Z</dcterms:modified>
</cp:coreProperties>
</file>